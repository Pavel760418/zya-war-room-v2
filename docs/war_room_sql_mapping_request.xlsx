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 для ИТ" sheetId="1" state="visible" r:id="rId1"/>
    <sheet name="Реестр метрик War Room" sheetId="2" state="visible" r:id="rId2"/>
    <sheet name="Карточка SQL-объекта 1С" sheetId="3" state="visible" r:id="rId3"/>
    <sheet name="Требования к SQL views" sheetId="4" state="visible" r:id="rId4"/>
    <sheet name="Сверка Excel и SQL" sheetId="5" state="visible" r:id="rId5"/>
    <sheet name="Справочник статусов" sheetId="6" state="visible" r:id="rId6"/>
  </sheets>
  <definedNames>
    <definedName name="_xlnm._FilterDatabase" localSheetId="1" hidden="1">'Реестр метрик War Room'!$A$1:$Y$64</definedName>
    <definedName name="_xlnm._FilterDatabase" localSheetId="2" hidden="1">'Карточка SQL-объекта 1С'!$A$1:$S$9</definedName>
    <definedName name="_xlnm._FilterDatabase" localSheetId="3" hidden="1">'Требования к SQL views'!$A$1:$J$13</definedName>
    <definedName name="_xlnm._FilterDatabase" localSheetId="4" hidden="1">'Сверка Excel и SQL'!$A$1:$M$44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sz val="11"/>
    </font>
    <font>
      <name val="Calibri"/>
      <b val="1"/>
      <color rgb="001F4E79"/>
      <sz val="12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D6EAF8"/>
      </patternFill>
    </fill>
    <fill>
      <patternFill patternType="solid">
        <fgColor rgb="00F2F3F4"/>
      </patternFill>
    </fill>
    <fill>
      <patternFill patternType="solid">
        <fgColor rgb="00F4CCCC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2" borderId="0" pivotButton="0" quotePrefix="0" xfId="0"/>
    <xf numFmtId="0" fontId="2" fillId="2" borderId="0" applyAlignment="1" pivotButton="0" quotePrefix="0" xfId="0">
      <alignment vertical="top" wrapText="1"/>
    </xf>
    <xf numFmtId="0" fontId="3" fillId="3" borderId="0" pivotButton="0" quotePrefix="0" xfId="0"/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4" borderId="1" pivotButton="0" quotePrefix="0" xfId="0"/>
    <xf numFmtId="0" fontId="0" fillId="6" borderId="1" pivotButton="0" quotePrefix="0" xfId="0"/>
    <xf numFmtId="0" fontId="4" fillId="5" borderId="0" pivotButton="0" quotePrefix="0" xfId="0"/>
    <xf numFmtId="0" fontId="0" fillId="3" borderId="1" pivotButton="0" quotePrefix="0" xfId="0"/>
    <xf numFmtId="0" fontId="0" fillId="6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7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5F5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RegistryMetrics" displayName="RegistryMetrics" ref="A1:Y64" headerRowCount="1">
  <autoFilter ref="A1:Y64"/>
  <tableColumns count="25">
    <tableColumn id="1" name="№"/>
    <tableColumn id="2" name="Раздел War Room"/>
    <tableColumn id="3" name="Метрика"/>
    <tableColumn id="4" name="Обязательность для первого SQL-релиза"/>
    <tableColumn id="5" name="Бизнес-определение"/>
    <tableColumn id="6" name="Формула расчёта в War Room"/>
    <tableColumn id="7" name="Периодичность"/>
    <tableColumn id="8" name="Гранулярность"/>
    <tableColumn id="9" name="Требуемые разрезы"/>
    <tableColumn id="10" name="Что должен вернуть SQL-запрос"/>
    <tableColumn id="11" name="Объект 1С"/>
    <tableColumn id="12" name="SQL-схема"/>
    <tableColumn id="13" name="SQL-таблица / view"/>
    <tableColumn id="14" name="SQL-поле / выражение"/>
    <tableColumn id="15" name="Поле даты"/>
    <tableColumn id="16" name="Поле магазина"/>
    <tableColumn id="17" name="Фильтры / условия отбора"/>
    <tableColumn id="18" name="Правила НДС"/>
    <tableColumn id="19" name="Правила возвратов / сторно"/>
    <tableColumn id="20" name="Правила закрытия периода"/>
    <tableColumn id="21" name="Статус ИТ"/>
    <tableColumn id="22" name="Ответственный ИТ"/>
    <tableColumn id="23" name="Комментарий ИТ"/>
    <tableColumn id="24" name="Статус сверки с Excel"/>
    <tableColumn id="25" name="Комментарий по сверке"/>
  </tableColumns>
  <tableStyleInfo name="TableStyleMedium2" showRowStripes="1"/>
</table>
</file>

<file path=xl/tables/table2.xml><?xml version="1.0" encoding="utf-8"?>
<table xmlns="http://schemas.openxmlformats.org/spreadsheetml/2006/main" id="2" name="ObjectCards" displayName="ObjectCards" ref="A1:S9" headerRowCount="1">
  <autoFilter ref="A1:S9"/>
  <tableColumns count="19">
    <tableColumn id="1" name="№"/>
    <tableColumn id="2" name="Бизнес-название объекта"/>
    <tableColumn id="3" name="Тип объекта 1С"/>
    <tableColumn id="4" name="Имя объекта 1С"/>
    <tableColumn id="5" name="Техническая SQL-таблица"/>
    <tableColumn id="6" name="Роль объекта"/>
    <tableColumn id="7" name="Поле даты"/>
    <tableColumn id="8" name="Поле магазина"/>
    <tableColumn id="9" name="Поле суммы"/>
    <tableColumn id="10" name="Поле количества"/>
    <tableColumn id="11" name="Поле себестоимости"/>
    <tableColumn id="12" name="Поле документа-основания"/>
    <tableColumn id="13" name="Поле статуса проведения"/>
    <tableColumn id="14" name="Поле типа операции"/>
    <tableColumn id="15" name="Нужные соединения с другими таблицами"/>
    <tableColumn id="16" name="Условия исключения"/>
    <tableColumn id="17" name="Пример SQL SELECT"/>
    <tableColumn id="18" name="Подтверждено ИТ"/>
    <tableColumn id="19" name="Комментарий ИТ"/>
  </tableColumns>
  <tableStyleInfo name="TableStyleMedium2" showRowStripes="1"/>
</table>
</file>

<file path=xl/tables/table3.xml><?xml version="1.0" encoding="utf-8"?>
<table xmlns="http://schemas.openxmlformats.org/spreadsheetml/2006/main" id="3" name="SqlViews" displayName="SqlViews" ref="A1:J13" headerRowCount="1">
  <autoFilter ref="A1:J13"/>
  <tableColumns count="10">
    <tableColumn id="1" name="№"/>
    <tableColumn id="2" name="Имя view"/>
    <tableColumn id="3" name="Назначение"/>
    <tableColumn id="4" name="Требуемые колонки"/>
    <tableColumn id="5" name="Минимальная гранулярность"/>
    <tableColumn id="6" name="Ключевые фильтры"/>
    <tableColumn id="7" name="Что не должно попадать в данные"/>
    <tableColumn id="8" name="Кто подтверждает цифры"/>
    <tableColumn id="9" name="Статус ИТ"/>
    <tableColumn id="10" name="Комментарий ИТ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10" customWidth="1" min="2" max="2"/>
  </cols>
  <sheetData>
    <row r="1" ht="28" customHeight="1">
      <c r="A1" s="1" t="inlineStr">
        <is>
          <t>War Room — задание на сопоставление метрик с объектами 1С / SQL</t>
        </is>
      </c>
    </row>
    <row r="3">
      <c r="A3" s="2" t="inlineStr"/>
      <c r="B3" s="3" t="inlineStr"/>
    </row>
    <row r="4">
      <c r="A4" s="4" t="inlineStr">
        <is>
          <t>Цель документа</t>
        </is>
      </c>
      <c r="B4" s="3" t="inlineStr">
        <is>
          <t>Определить, из каких объектов 1С и таблиц/views SQL должны поступать данные в War Room.</t>
        </is>
      </c>
    </row>
    <row r="5">
      <c r="A5" s="2" t="inlineStr"/>
      <c r="B5" s="3" t="inlineStr"/>
    </row>
    <row r="6">
      <c r="A6" s="4" t="inlineStr">
        <is>
          <t>Контекст</t>
        </is>
      </c>
      <c r="B6" s="3" t="inlineStr"/>
    </row>
    <row r="7">
      <c r="A7" s="2" t="inlineStr">
        <is>
          <t>•</t>
        </is>
      </c>
      <c r="B7" s="3" t="inlineStr">
        <is>
          <t>War Room подключается к Microsoft SQL Server, база retail (сервер уже известен ИТ-отделу заказчика).</t>
        </is>
      </c>
    </row>
    <row r="8">
      <c r="A8" s="2" t="inlineStr">
        <is>
          <t>•</t>
        </is>
      </c>
      <c r="B8" s="3" t="inlineStr">
        <is>
          <t>SQL-пользователь используется только на чтение (SELECT). Изменяющие операции запрещены.</t>
        </is>
      </c>
    </row>
    <row r="9">
      <c r="A9" s="2" t="inlineStr">
        <is>
          <t>•</t>
        </is>
      </c>
      <c r="B9" s="3" t="inlineStr">
        <is>
          <t>База retail является SQL-копией 1С:Предприятие с техническими именами (_AccumRg*, _Reference*, _Document*, _Fld*).</t>
        </is>
      </c>
    </row>
    <row r="10">
      <c r="A10" s="2" t="inlineStr">
        <is>
          <t>•</t>
        </is>
      </c>
      <c r="B10" s="3" t="inlineStr">
        <is>
          <t>В этом документе нельзя указывать пароли, строки подключения, токены и другие секреты.</t>
        </is>
      </c>
    </row>
    <row r="11">
      <c r="A11" s="2" t="inlineStr">
        <is>
          <t>•</t>
        </is>
      </c>
      <c r="B11" s="3" t="inlineStr">
        <is>
          <t>ИТ заполняет реальные объекты 1С, SQL-таблицы/views, поля, фильтры и бизнес-правила. Не заполненные жёлтые ячейки означают «требуется ответ ИТ».</t>
        </is>
      </c>
    </row>
    <row r="12">
      <c r="A12" s="2" t="inlineStr">
        <is>
          <t>•</t>
        </is>
      </c>
      <c r="B12" s="3" t="inlineStr">
        <is>
          <t>Предпочтительно создать SQL views с понятными бизнес-названиями, а не подключать War Room напрямую к техническим таблицам _AccumRg#### / _Fld####.</t>
        </is>
      </c>
    </row>
    <row r="13">
      <c r="A13" s="2" t="inlineStr">
        <is>
          <t>•</t>
        </is>
      </c>
      <c r="B13" s="3" t="inlineStr">
        <is>
          <t>Все расчёты должны быть подтверждены на контрольном периоде сверкой с текущим Excel-отчётом War Room (лист «Сверка Excel и SQL»).</t>
        </is>
      </c>
    </row>
    <row r="14">
      <c r="A14" s="2" t="inlineStr"/>
      <c r="B14" s="3" t="inlineStr"/>
    </row>
    <row r="15">
      <c r="A15" s="5" t="inlineStr">
        <is>
          <t>Краткая сводка готовности SQL</t>
        </is>
      </c>
      <c r="B15" s="6" t="inlineStr"/>
    </row>
    <row r="16">
      <c r="A16" s="7" t="inlineStr">
        <is>
          <t>Всего метрик в реестре</t>
        </is>
      </c>
      <c r="B16" s="8" t="inlineStr">
        <is>
          <t>63</t>
        </is>
      </c>
    </row>
    <row r="17">
      <c r="A17" s="7" t="inlineStr">
        <is>
          <t>Обязательных для первого SQL-релиза</t>
        </is>
      </c>
      <c r="B17" s="8" t="inlineStr">
        <is>
          <t>31</t>
        </is>
      </c>
    </row>
    <row r="18">
      <c r="A18" s="4" t="inlineStr">
        <is>
          <t>Необязательных (второй этап)</t>
        </is>
      </c>
      <c r="B18" s="3" t="inlineStr">
        <is>
          <t>32</t>
        </is>
      </c>
    </row>
    <row r="19">
      <c r="A19" s="7" t="inlineStr">
        <is>
          <t>Метрик с подтверждённым SQL-источником</t>
        </is>
      </c>
      <c r="B19" s="8" t="inlineStr">
        <is>
          <t>0 (все ожидают заполнения ИТ)</t>
        </is>
      </c>
    </row>
    <row r="20">
      <c r="A20" s="7" t="inlineStr">
        <is>
          <t>Готовность первого SQL-релиза</t>
        </is>
      </c>
      <c r="B20" s="9" t="inlineStr">
        <is>
          <t>0% — требуется карта объектов 1С → SQL и сверка</t>
        </is>
      </c>
    </row>
    <row r="21">
      <c r="A21" s="4" t="inlineStr">
        <is>
          <t>Рекомендуемый путь</t>
        </is>
      </c>
      <c r="B21" s="3" t="inlineStr">
        <is>
          <t>SQL views (лист «Требования к SQL views») + заполнение реестра + контрольная сверка</t>
        </is>
      </c>
    </row>
    <row r="22">
      <c r="A22" s="2" t="inlineStr"/>
      <c r="B22" s="3" t="inlineStr"/>
    </row>
    <row r="23">
      <c r="A23" s="4" t="inlineStr">
        <is>
          <t>Что требуется от ИТ</t>
        </is>
      </c>
      <c r="B23" s="3" t="inlineStr"/>
    </row>
    <row r="24">
      <c r="A24" s="2" t="inlineStr">
        <is>
          <t>1</t>
        </is>
      </c>
      <c r="B24" s="3" t="inlineStr">
        <is>
          <t>Подтвердить, что база retail является корректным источником данных для War Room.</t>
        </is>
      </c>
    </row>
    <row r="25">
      <c r="A25" s="2" t="inlineStr">
        <is>
          <t>2</t>
        </is>
      </c>
      <c r="B25" s="3" t="inlineStr">
        <is>
          <t>Указать объект 1С и SQL-таблицу/регистр/view для каждой метрики (особенно обязательных).</t>
        </is>
      </c>
    </row>
    <row r="26">
      <c r="A26" s="2" t="inlineStr">
        <is>
          <t>3</t>
        </is>
      </c>
      <c r="B26" s="3" t="inlineStr">
        <is>
          <t>Указать реальные поля SQL (или выражения во view).</t>
        </is>
      </c>
    </row>
    <row r="27">
      <c r="A27" s="2" t="inlineStr">
        <is>
          <t>4</t>
        </is>
      </c>
      <c r="B27" s="3" t="inlineStr">
        <is>
          <t>Указать, каким полем/справочником определяется магазин.</t>
        </is>
      </c>
    </row>
    <row r="28">
      <c r="A28" s="2" t="inlineStr">
        <is>
          <t>5</t>
        </is>
      </c>
      <c r="B28" s="3" t="inlineStr">
        <is>
          <t>Указать, как определяются дата, неделя, месяц и отчётный период (границы недели/месяца).</t>
        </is>
      </c>
    </row>
    <row r="29">
      <c r="A29" s="2" t="inlineStr">
        <is>
          <t>6</t>
        </is>
      </c>
      <c r="B29" s="3" t="inlineStr">
        <is>
          <t>Указать правила НДС, возвратов, сторно, отменённых документов и закрытия периода.</t>
        </is>
      </c>
    </row>
    <row r="30">
      <c r="A30" s="2" t="inlineStr">
        <is>
          <t>7</t>
        </is>
      </c>
      <c r="B30" s="3" t="inlineStr">
        <is>
          <t>Указать типы и подтипы списания / выбытия товаров.</t>
        </is>
      </c>
    </row>
    <row r="31">
      <c r="A31" s="2" t="inlineStr">
        <is>
          <t>8</t>
        </is>
      </c>
      <c r="B31" s="3" t="inlineStr">
        <is>
          <t>Указать, как рассчитывается себестоимость в партионном учёте.</t>
        </is>
      </c>
    </row>
    <row r="32">
      <c r="A32" s="2" t="inlineStr">
        <is>
          <t>9</t>
        </is>
      </c>
      <c r="B32" s="3" t="inlineStr">
        <is>
          <t>Подтвердить выборку цифр за один согласованный контрольный период для сверки с Excel.</t>
        </is>
      </c>
    </row>
    <row r="33">
      <c r="A33" s="2" t="inlineStr">
        <is>
          <t>10</t>
        </is>
      </c>
      <c r="B33" s="3" t="inlineStr">
        <is>
          <t>По возможности создать views с понятными именами для War Room (см. лист «Требования к SQL views»).</t>
        </is>
      </c>
    </row>
    <row r="34">
      <c r="A34" s="2" t="inlineStr"/>
      <c r="B34" s="3" t="inlineStr"/>
    </row>
    <row r="35">
      <c r="A35" s="4" t="inlineStr">
        <is>
          <t>Как работать с файлом</t>
        </is>
      </c>
      <c r="B35" s="3" t="inlineStr"/>
    </row>
    <row r="36">
      <c r="A36" s="2" t="inlineStr">
        <is>
          <t>•</t>
        </is>
      </c>
      <c r="B36" s="3" t="inlineStr">
        <is>
          <t>Лист «Реестр метрик War Room» — основной: жёлтые колонки заполняет ИТ; красным выделены обязательные метрики без SQL-источника.</t>
        </is>
      </c>
    </row>
    <row r="37">
      <c r="A37" s="2" t="inlineStr">
        <is>
          <t>•</t>
        </is>
      </c>
      <c r="B37" s="3" t="inlineStr">
        <is>
          <t>Лист «Карточка SQL-объекта 1С» — детализация каждого указанного объекта.</t>
        </is>
      </c>
    </row>
    <row r="38">
      <c r="A38" s="2" t="inlineStr">
        <is>
          <t>•</t>
        </is>
      </c>
      <c r="B38" s="3" t="inlineStr">
        <is>
          <t>Лист «Требования к SQL views» — целевая витрина для приложения.</t>
        </is>
      </c>
    </row>
    <row r="39">
      <c r="A39" s="2" t="inlineStr">
        <is>
          <t>•</t>
        </is>
      </c>
      <c r="B39" s="3" t="inlineStr">
        <is>
          <t>Лист «Сверка Excel и SQL» — контрольные цифры; статус считается по разнице.</t>
        </is>
      </c>
    </row>
    <row r="40">
      <c r="A40" s="2" t="inlineStr">
        <is>
          <t>•</t>
        </is>
      </c>
      <c r="B40" s="3" t="inlineStr">
        <is>
          <t>Лист «Справочник статусов» — значения для выпадающих списков.</t>
        </is>
      </c>
    </row>
    <row r="41">
      <c r="A41" s="2" t="inlineStr"/>
      <c r="B41" s="3" t="inlineStr"/>
    </row>
    <row r="42">
      <c r="A42" s="4" t="inlineStr">
        <is>
          <t>Ограничения</t>
        </is>
      </c>
      <c r="B42" s="3" t="inlineStr"/>
    </row>
    <row r="43">
      <c r="A43" s="2" t="inlineStr">
        <is>
          <t>•</t>
        </is>
      </c>
      <c r="B43" s="3" t="inlineStr">
        <is>
          <t>Не угадывать соответствие _AccumRg#### / _Fld#### бизнес-метрике без подтверждения.</t>
        </is>
      </c>
    </row>
    <row r="44">
      <c r="A44" s="2" t="inlineStr">
        <is>
          <t>•</t>
        </is>
      </c>
      <c r="B44" s="3" t="inlineStr">
        <is>
          <t>Не менять пароли и не публиковать секреты в этом файле или переписке.</t>
        </is>
      </c>
    </row>
    <row r="45">
      <c r="A45" s="2" t="inlineStr">
        <is>
          <t>•</t>
        </is>
      </c>
      <c r="B45" s="3" t="inlineStr">
        <is>
          <t>War Room не объявляет SQL-источник готовым, пока не закрыта сверка обязательных метрик.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6" customWidth="1" min="3" max="3"/>
    <col width="14" customWidth="1" min="4" max="4"/>
    <col width="40" customWidth="1" min="5" max="5"/>
    <col width="32" customWidth="1" min="6" max="6"/>
    <col width="16" customWidth="1" min="7" max="7"/>
    <col width="22" customWidth="1" min="8" max="8"/>
    <col width="28" customWidth="1" min="9" max="9"/>
    <col width="28" customWidth="1" min="10" max="10"/>
    <col width="22" customWidth="1" min="11" max="11"/>
    <col width="12" customWidth="1" min="12" max="12"/>
    <col width="24" customWidth="1" min="13" max="13"/>
    <col width="24" customWidth="1" min="14" max="14"/>
    <col width="16" customWidth="1" min="15" max="15"/>
    <col width="16" customWidth="1" min="16" max="16"/>
    <col width="24" customWidth="1" min="17" max="17"/>
    <col width="18" customWidth="1" min="18" max="18"/>
    <col width="22" customWidth="1" min="19" max="19"/>
    <col width="22" customWidth="1" min="20" max="20"/>
    <col width="22" customWidth="1" min="21" max="21"/>
    <col width="18" customWidth="1" min="22" max="22"/>
    <col width="24" customWidth="1" min="23" max="23"/>
    <col width="18" customWidth="1" min="24" max="24"/>
    <col width="24" customWidth="1" min="25" max="25"/>
  </cols>
  <sheetData>
    <row r="1" ht="45" customHeight="1">
      <c r="A1" s="10" t="inlineStr">
        <is>
          <t>№</t>
        </is>
      </c>
      <c r="B1" s="10" t="inlineStr">
        <is>
          <t>Раздел War Room</t>
        </is>
      </c>
      <c r="C1" s="10" t="inlineStr">
        <is>
          <t>Метрика</t>
        </is>
      </c>
      <c r="D1" s="10" t="inlineStr">
        <is>
          <t>Обязательность для первого SQL-релиза</t>
        </is>
      </c>
      <c r="E1" s="10" t="inlineStr">
        <is>
          <t>Бизнес-определение</t>
        </is>
      </c>
      <c r="F1" s="10" t="inlineStr">
        <is>
          <t>Формула расчёта в War Room</t>
        </is>
      </c>
      <c r="G1" s="10" t="inlineStr">
        <is>
          <t>Периодичность</t>
        </is>
      </c>
      <c r="H1" s="10" t="inlineStr">
        <is>
          <t>Гранулярность</t>
        </is>
      </c>
      <c r="I1" s="10" t="inlineStr">
        <is>
          <t>Требуемые разрезы</t>
        </is>
      </c>
      <c r="J1" s="10" t="inlineStr">
        <is>
          <t>Что должен вернуть SQL-запрос</t>
        </is>
      </c>
      <c r="K1" s="10" t="inlineStr">
        <is>
          <t>Объект 1С</t>
        </is>
      </c>
      <c r="L1" s="10" t="inlineStr">
        <is>
          <t>SQL-схема</t>
        </is>
      </c>
      <c r="M1" s="10" t="inlineStr">
        <is>
          <t>SQL-таблица / view</t>
        </is>
      </c>
      <c r="N1" s="10" t="inlineStr">
        <is>
          <t>SQL-поле / выражение</t>
        </is>
      </c>
      <c r="O1" s="10" t="inlineStr">
        <is>
          <t>Поле даты</t>
        </is>
      </c>
      <c r="P1" s="10" t="inlineStr">
        <is>
          <t>Поле магазина</t>
        </is>
      </c>
      <c r="Q1" s="10" t="inlineStr">
        <is>
          <t>Фильтры / условия отбора</t>
        </is>
      </c>
      <c r="R1" s="10" t="inlineStr">
        <is>
          <t>Правила НДС</t>
        </is>
      </c>
      <c r="S1" s="10" t="inlineStr">
        <is>
          <t>Правила возвратов / сторно</t>
        </is>
      </c>
      <c r="T1" s="10" t="inlineStr">
        <is>
          <t>Правила закрытия периода</t>
        </is>
      </c>
      <c r="U1" s="10" t="inlineStr">
        <is>
          <t>Статус ИТ</t>
        </is>
      </c>
      <c r="V1" s="10" t="inlineStr">
        <is>
          <t>Ответственный ИТ</t>
        </is>
      </c>
      <c r="W1" s="10" t="inlineStr">
        <is>
          <t>Комментарий ИТ</t>
        </is>
      </c>
      <c r="X1" s="10" t="inlineStr">
        <is>
          <t>Статус сверки с Excel</t>
        </is>
      </c>
      <c r="Y1" s="10" t="inlineStr">
        <is>
          <t>Комментарий по сверке</t>
        </is>
      </c>
    </row>
    <row r="2">
      <c r="A2" s="11" t="n">
        <v>1</v>
      </c>
      <c r="B2" s="11" t="inlineStr">
        <is>
          <t>Технические измерения</t>
        </is>
      </c>
      <c r="C2" s="12" t="inlineStr">
        <is>
          <t>Дата операции</t>
        </is>
      </c>
      <c r="D2" s="12" t="inlineStr">
        <is>
          <t>Да</t>
        </is>
      </c>
      <c r="E2" s="11" t="inlineStr">
        <is>
          <t>Календарная дата хозяйственной операции / продажи / движения.</t>
        </is>
      </c>
      <c r="F2" s="11" t="inlineStr">
        <is>
          <t>Как в источнике 1С (дата документа/движения).</t>
        </is>
      </c>
      <c r="G2" s="11" t="inlineStr">
        <is>
          <t>День</t>
        </is>
      </c>
      <c r="H2" s="11" t="inlineStr">
        <is>
          <t>Дата</t>
        </is>
      </c>
      <c r="I2" s="11" t="inlineStr">
        <is>
          <t>дата × магазин</t>
        </is>
      </c>
      <c r="J2" s="11" t="inlineStr">
        <is>
          <t>sale_date / operation_date</t>
        </is>
      </c>
      <c r="K2" s="13" t="inlineStr"/>
      <c r="L2" s="13" t="inlineStr"/>
      <c r="M2" s="13" t="inlineStr"/>
      <c r="N2" s="13" t="inlineStr"/>
      <c r="O2" s="13" t="inlineStr"/>
      <c r="P2" s="13" t="inlineStr"/>
      <c r="Q2" s="13" t="inlineStr"/>
      <c r="R2" s="13" t="inlineStr"/>
      <c r="S2" s="13" t="inlineStr"/>
      <c r="T2" s="13" t="inlineStr"/>
      <c r="U2" s="13" t="inlineStr">
        <is>
          <t>Требуется заполнение ИТ</t>
        </is>
      </c>
      <c r="V2" s="13" t="inlineStr"/>
      <c r="W2" s="13" t="inlineStr"/>
      <c r="X2" s="13" t="inlineStr">
        <is>
          <t>Не проверено</t>
        </is>
      </c>
      <c r="Y2" s="13" t="inlineStr"/>
    </row>
    <row r="3">
      <c r="A3" s="11" t="n">
        <v>2</v>
      </c>
      <c r="B3" s="11" t="inlineStr">
        <is>
          <t>Технические измерения</t>
        </is>
      </c>
      <c r="C3" s="12" t="inlineStr">
        <is>
          <t>День</t>
        </is>
      </c>
      <c r="D3" s="12" t="inlineStr">
        <is>
          <t>Да</t>
        </is>
      </c>
      <c r="E3" s="11" t="inlineStr">
        <is>
          <t>Календарный день отчётности War Room.</t>
        </is>
      </c>
      <c r="F3" s="11" t="inlineStr">
        <is>
          <t>DATE(дата операции)</t>
        </is>
      </c>
      <c r="G3" s="11" t="inlineStr">
        <is>
          <t>День</t>
        </is>
      </c>
      <c r="H3" s="11" t="inlineStr">
        <is>
          <t>Дата</t>
        </is>
      </c>
      <c r="I3" s="11" t="inlineStr">
        <is>
          <t>дата × магазин</t>
        </is>
      </c>
      <c r="J3" s="11" t="inlineStr">
        <is>
          <t>calendar_day</t>
        </is>
      </c>
      <c r="K3" s="13" t="inlineStr"/>
      <c r="L3" s="13" t="inlineStr"/>
      <c r="M3" s="13" t="inlineStr"/>
      <c r="N3" s="13" t="inlineStr"/>
      <c r="O3" s="13" t="inlineStr"/>
      <c r="P3" s="13" t="inlineStr"/>
      <c r="Q3" s="13" t="inlineStr"/>
      <c r="R3" s="13" t="inlineStr"/>
      <c r="S3" s="13" t="inlineStr"/>
      <c r="T3" s="13" t="inlineStr"/>
      <c r="U3" s="13" t="inlineStr">
        <is>
          <t>Требуется заполнение ИТ</t>
        </is>
      </c>
      <c r="V3" s="13" t="inlineStr"/>
      <c r="W3" s="13" t="inlineStr"/>
      <c r="X3" s="13" t="inlineStr">
        <is>
          <t>Не проверено</t>
        </is>
      </c>
      <c r="Y3" s="13" t="inlineStr"/>
    </row>
    <row r="4">
      <c r="A4" s="11" t="n">
        <v>3</v>
      </c>
      <c r="B4" s="11" t="inlineStr">
        <is>
          <t>Технические измерения</t>
        </is>
      </c>
      <c r="C4" s="12" t="inlineStr">
        <is>
          <t>Неделя</t>
        </is>
      </c>
      <c r="D4" s="12" t="inlineStr">
        <is>
          <t>Да</t>
        </is>
      </c>
      <c r="E4" s="11" t="inlineStr">
        <is>
          <t>Отчётная неделя (нумерация и границы — по правилу компании).</t>
        </is>
      </c>
      <c r="F4" s="11" t="inlineStr">
        <is>
          <t>Неделя от даты операции (стандарт ISO или корпоративный — уточнить ИТ).</t>
        </is>
      </c>
      <c r="G4" s="11" t="inlineStr">
        <is>
          <t>Неделя</t>
        </is>
      </c>
      <c r="H4" s="11" t="inlineStr">
        <is>
          <t>Неделя</t>
        </is>
      </c>
      <c r="I4" s="11" t="inlineStr">
        <is>
          <t>неделя × магазин</t>
        </is>
      </c>
      <c r="J4" s="11" t="inlineStr">
        <is>
          <t>week_id / week_start</t>
        </is>
      </c>
      <c r="K4" s="13" t="inlineStr"/>
      <c r="L4" s="13" t="inlineStr"/>
      <c r="M4" s="13" t="inlineStr"/>
      <c r="N4" s="13" t="inlineStr"/>
      <c r="O4" s="13" t="inlineStr"/>
      <c r="P4" s="13" t="inlineStr"/>
      <c r="Q4" s="13" t="inlineStr"/>
      <c r="R4" s="13" t="inlineStr"/>
      <c r="S4" s="13" t="inlineStr"/>
      <c r="T4" s="13" t="inlineStr"/>
      <c r="U4" s="13" t="inlineStr">
        <is>
          <t>Требуется заполнение ИТ</t>
        </is>
      </c>
      <c r="V4" s="13" t="inlineStr"/>
      <c r="W4" s="13" t="inlineStr"/>
      <c r="X4" s="13" t="inlineStr">
        <is>
          <t>Не проверено</t>
        </is>
      </c>
      <c r="Y4" s="13" t="inlineStr"/>
    </row>
    <row r="5">
      <c r="A5" s="11" t="n">
        <v>4</v>
      </c>
      <c r="B5" s="11" t="inlineStr">
        <is>
          <t>Технические измерения</t>
        </is>
      </c>
      <c r="C5" s="12" t="inlineStr">
        <is>
          <t>Месяц</t>
        </is>
      </c>
      <c r="D5" s="12" t="inlineStr">
        <is>
          <t>Да</t>
        </is>
      </c>
      <c r="E5" s="11" t="inlineStr">
        <is>
          <t>Отчётный месяц.</t>
        </is>
      </c>
      <c r="F5" s="11" t="inlineStr">
        <is>
          <t>YYYY-MM от даты операции</t>
        </is>
      </c>
      <c r="G5" s="11" t="inlineStr">
        <is>
          <t>Месяц</t>
        </is>
      </c>
      <c r="H5" s="11" t="inlineStr">
        <is>
          <t>Месяц</t>
        </is>
      </c>
      <c r="I5" s="11" t="inlineStr">
        <is>
          <t>месяц × магазин</t>
        </is>
      </c>
      <c r="J5" s="11" t="inlineStr">
        <is>
          <t>month_id</t>
        </is>
      </c>
      <c r="K5" s="13" t="inlineStr"/>
      <c r="L5" s="13" t="inlineStr"/>
      <c r="M5" s="13" t="inlineStr"/>
      <c r="N5" s="13" t="inlineStr"/>
      <c r="O5" s="13" t="inlineStr"/>
      <c r="P5" s="13" t="inlineStr"/>
      <c r="Q5" s="13" t="inlineStr"/>
      <c r="R5" s="13" t="inlineStr"/>
      <c r="S5" s="13" t="inlineStr"/>
      <c r="T5" s="13" t="inlineStr"/>
      <c r="U5" s="13" t="inlineStr">
        <is>
          <t>Требуется заполнение ИТ</t>
        </is>
      </c>
      <c r="V5" s="13" t="inlineStr"/>
      <c r="W5" s="13" t="inlineStr"/>
      <c r="X5" s="13" t="inlineStr">
        <is>
          <t>Не проверено</t>
        </is>
      </c>
      <c r="Y5" s="13" t="inlineStr"/>
    </row>
    <row r="6">
      <c r="A6" s="11" t="n">
        <v>5</v>
      </c>
      <c r="B6" s="11" t="inlineStr">
        <is>
          <t>Технические измерения</t>
        </is>
      </c>
      <c r="C6" s="12" t="inlineStr">
        <is>
          <t>Код магазина</t>
        </is>
      </c>
      <c r="D6" s="12" t="inlineStr">
        <is>
          <t>Да</t>
        </is>
      </c>
      <c r="E6" s="11" t="inlineStr">
        <is>
          <t>Устойчивый код торговой точки в учётной системе.</t>
        </is>
      </c>
      <c r="F6" s="11" t="inlineStr">
        <is>
          <t>Справочник магазинов 1С</t>
        </is>
      </c>
      <c r="G6" s="11" t="inlineStr">
        <is>
          <t>Справочник</t>
        </is>
      </c>
      <c r="H6" s="11" t="inlineStr">
        <is>
          <t>Магазин</t>
        </is>
      </c>
      <c r="I6" s="11" t="inlineStr">
        <is>
          <t>магазин</t>
        </is>
      </c>
      <c r="J6" s="11" t="inlineStr">
        <is>
          <t>store_code</t>
        </is>
      </c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>
        <is>
          <t>Требуется заполнение ИТ</t>
        </is>
      </c>
      <c r="V6" s="13" t="inlineStr"/>
      <c r="W6" s="13" t="inlineStr"/>
      <c r="X6" s="13" t="inlineStr">
        <is>
          <t>Не проверено</t>
        </is>
      </c>
      <c r="Y6" s="13" t="inlineStr"/>
    </row>
    <row r="7">
      <c r="A7" s="11" t="n">
        <v>6</v>
      </c>
      <c r="B7" s="11" t="inlineStr">
        <is>
          <t>Технические измерения</t>
        </is>
      </c>
      <c r="C7" s="12" t="inlineStr">
        <is>
          <t>Наименование магазина</t>
        </is>
      </c>
      <c r="D7" s="12" t="inlineStr">
        <is>
          <t>Да</t>
        </is>
      </c>
      <c r="E7" s="11" t="inlineStr">
        <is>
          <t>Отображаемое имя магазина в War Room.</t>
        </is>
      </c>
      <c r="F7" s="11" t="inlineStr">
        <is>
          <t>Справочник магазинов 1С</t>
        </is>
      </c>
      <c r="G7" s="11" t="inlineStr">
        <is>
          <t>Справочник</t>
        </is>
      </c>
      <c r="H7" s="11" t="inlineStr">
        <is>
          <t>Магазин</t>
        </is>
      </c>
      <c r="I7" s="11" t="inlineStr">
        <is>
          <t>магазин</t>
        </is>
      </c>
      <c r="J7" s="11" t="inlineStr">
        <is>
          <t>store_name</t>
        </is>
      </c>
      <c r="K7" s="13" t="inlineStr"/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  <c r="U7" s="13" t="inlineStr">
        <is>
          <t>Требуется заполнение ИТ</t>
        </is>
      </c>
      <c r="V7" s="13" t="inlineStr"/>
      <c r="W7" s="13" t="inlineStr"/>
      <c r="X7" s="13" t="inlineStr">
        <is>
          <t>Не проверено</t>
        </is>
      </c>
      <c r="Y7" s="13" t="inlineStr"/>
    </row>
    <row r="8">
      <c r="A8" s="11" t="n">
        <v>7</v>
      </c>
      <c r="B8" s="11" t="inlineStr">
        <is>
          <t>Технические измерения</t>
        </is>
      </c>
      <c r="C8" s="12" t="inlineStr">
        <is>
          <t>Активность/статус магазина</t>
        </is>
      </c>
      <c r="D8" s="12" t="inlineStr">
        <is>
          <t>Да</t>
        </is>
      </c>
      <c r="E8" s="11" t="inlineStr">
        <is>
          <t>Признак, что магазин участвует в операционной отчётности (открыт/закрыт/пилот и т.п.).</t>
        </is>
      </c>
      <c r="F8" s="11" t="inlineStr">
        <is>
          <t>Статус из справочника / регистра сведений</t>
        </is>
      </c>
      <c r="G8" s="11" t="inlineStr">
        <is>
          <t>Справочник</t>
        </is>
      </c>
      <c r="H8" s="11" t="inlineStr">
        <is>
          <t>Магазин</t>
        </is>
      </c>
      <c r="I8" s="11" t="inlineStr">
        <is>
          <t>магазин</t>
        </is>
      </c>
      <c r="J8" s="11" t="inlineStr">
        <is>
          <t>store_status / is_active</t>
        </is>
      </c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>
        <is>
          <t>Требуется заполнение ИТ</t>
        </is>
      </c>
      <c r="V8" s="13" t="inlineStr"/>
      <c r="W8" s="13" t="inlineStr"/>
      <c r="X8" s="13" t="inlineStr">
        <is>
          <t>Не проверено</t>
        </is>
      </c>
      <c r="Y8" s="13" t="inlineStr"/>
    </row>
    <row r="9">
      <c r="A9" s="11" t="n">
        <v>8</v>
      </c>
      <c r="B9" s="11" t="inlineStr">
        <is>
          <t>Технические измерения</t>
        </is>
      </c>
      <c r="C9" s="11" t="inlineStr">
        <is>
          <t>Регион/кластер</t>
        </is>
      </c>
      <c r="D9" s="11" t="inlineStr">
        <is>
          <t>Нет</t>
        </is>
      </c>
      <c r="E9" s="11" t="inlineStr">
        <is>
          <t>Региональная или кластерная группировка магазинов, если ведётся в 1С.</t>
        </is>
      </c>
      <c r="F9" s="11" t="inlineStr">
        <is>
          <t>Справочник / доп. реквизиты магазина</t>
        </is>
      </c>
      <c r="G9" s="11" t="inlineStr">
        <is>
          <t>Справочник</t>
        </is>
      </c>
      <c r="H9" s="11" t="inlineStr">
        <is>
          <t>Регион/кластер</t>
        </is>
      </c>
      <c r="I9" s="11" t="inlineStr">
        <is>
          <t>регион × кластер × магазин</t>
        </is>
      </c>
      <c r="J9" s="11" t="inlineStr">
        <is>
          <t>region, cluster</t>
        </is>
      </c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  <c r="U9" s="13" t="inlineStr">
        <is>
          <t>Требуется заполнение ИТ</t>
        </is>
      </c>
      <c r="V9" s="13" t="inlineStr"/>
      <c r="W9" s="13" t="inlineStr"/>
      <c r="X9" s="13" t="inlineStr">
        <is>
          <t>Не проверено</t>
        </is>
      </c>
      <c r="Y9" s="13" t="inlineStr"/>
    </row>
    <row r="10">
      <c r="A10" s="11" t="n">
        <v>9</v>
      </c>
      <c r="B10" s="11" t="inlineStr">
        <is>
          <t>Продажи</t>
        </is>
      </c>
      <c r="C10" s="12" t="inlineStr">
        <is>
          <t>Выручка факт</t>
        </is>
      </c>
      <c r="D10" s="12" t="inlineStr">
        <is>
          <t>Да</t>
        </is>
      </c>
      <c r="E10" s="11" t="inlineStr">
        <is>
          <t>Продажи розничного магазина за выбранный период — день, неделю, месяц или другой равнозначный период.</t>
        </is>
      </c>
      <c r="F10" s="11" t="inlineStr">
        <is>
          <t>Сумма розничных продаж за период и набор магазинов (правила НДС/возвратов — от ИТ).</t>
        </is>
      </c>
      <c r="G10" s="11" t="inlineStr">
        <is>
          <t>День / неделя / месяц</t>
        </is>
      </c>
      <c r="H10" s="11" t="inlineStr">
        <is>
          <t>дата × магазин</t>
        </is>
      </c>
      <c r="I10" s="11" t="inlineStr">
        <is>
          <t>дата × магазин</t>
        </is>
      </c>
      <c r="J10" s="11" t="inlineStr">
        <is>
          <t>revenue_fact</t>
        </is>
      </c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>
        <is>
          <t>Требуется заполнение ИТ</t>
        </is>
      </c>
      <c r="V10" s="13" t="inlineStr"/>
      <c r="W10" s="13" t="inlineStr"/>
      <c r="X10" s="13" t="inlineStr">
        <is>
          <t>Не проверено</t>
        </is>
      </c>
      <c r="Y10" s="13" t="inlineStr"/>
    </row>
    <row r="11">
      <c r="A11" s="11" t="n">
        <v>10</v>
      </c>
      <c r="B11" s="11" t="inlineStr">
        <is>
          <t>Продажи</t>
        </is>
      </c>
      <c r="C11" s="12" t="inlineStr">
        <is>
          <t>Выручка план</t>
        </is>
      </c>
      <c r="D11" s="12" t="inlineStr">
        <is>
          <t>Да</t>
        </is>
      </c>
      <c r="E11" s="11" t="inlineStr">
        <is>
          <t>Плановая выручка магазина (сети) на тот же период, что и факт.</t>
        </is>
      </c>
      <c r="F11" s="11" t="inlineStr">
        <is>
          <t>Значение плана из регистра/документа планирования 1С.</t>
        </is>
      </c>
      <c r="G11" s="11" t="inlineStr">
        <is>
          <t>День / неделя / месяц</t>
        </is>
      </c>
      <c r="H11" s="11" t="inlineStr">
        <is>
          <t>дата × магазин</t>
        </is>
      </c>
      <c r="I11" s="11" t="inlineStr">
        <is>
          <t>дата × магазин</t>
        </is>
      </c>
      <c r="J11" s="11" t="inlineStr">
        <is>
          <t>revenue_plan</t>
        </is>
      </c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  <c r="U11" s="13" t="inlineStr">
        <is>
          <t>Требуется заполнение ИТ</t>
        </is>
      </c>
      <c r="V11" s="13" t="inlineStr"/>
      <c r="W11" s="13" t="inlineStr"/>
      <c r="X11" s="13" t="inlineStr">
        <is>
          <t>Не проверено</t>
        </is>
      </c>
      <c r="Y11" s="13" t="inlineStr"/>
    </row>
    <row r="12">
      <c r="A12" s="11" t="n">
        <v>11</v>
      </c>
      <c r="B12" s="11" t="inlineStr">
        <is>
          <t>Продажи</t>
        </is>
      </c>
      <c r="C12" s="12" t="inlineStr">
        <is>
          <t>Отклонение факта выручки от плана, руб.</t>
        </is>
      </c>
      <c r="D12" s="12" t="inlineStr">
        <is>
          <t>Да</t>
        </is>
      </c>
      <c r="E12" s="11" t="inlineStr">
        <is>
          <t>Абсолютное отклонение факта от плана.</t>
        </is>
      </c>
      <c r="F12" s="11" t="inlineStr">
        <is>
          <t>выручка_факт − выручка_план</t>
        </is>
      </c>
      <c r="G12" s="11" t="inlineStr">
        <is>
          <t>День / неделя / месяц</t>
        </is>
      </c>
      <c r="H12" s="11" t="inlineStr">
        <is>
          <t>дата × магазин</t>
        </is>
      </c>
      <c r="I12" s="11" t="inlineStr">
        <is>
          <t>дата × магазин</t>
        </is>
      </c>
      <c r="J12" s="11" t="inlineStr">
        <is>
          <t>revenue_fact - revenue_plan</t>
        </is>
      </c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  <c r="U12" s="13" t="inlineStr">
        <is>
          <t>Требуется заполнение ИТ</t>
        </is>
      </c>
      <c r="V12" s="13" t="inlineStr"/>
      <c r="W12" s="13" t="inlineStr"/>
      <c r="X12" s="13" t="inlineStr">
        <is>
          <t>Не проверено</t>
        </is>
      </c>
      <c r="Y12" s="13" t="inlineStr"/>
    </row>
    <row r="13">
      <c r="A13" s="11" t="n">
        <v>12</v>
      </c>
      <c r="B13" s="11" t="inlineStr">
        <is>
          <t>Продажи</t>
        </is>
      </c>
      <c r="C13" s="12" t="inlineStr">
        <is>
          <t>Выполнение плана выручки, %</t>
        </is>
      </c>
      <c r="D13" s="12" t="inlineStr">
        <is>
          <t>Да</t>
        </is>
      </c>
      <c r="E13" s="11" t="inlineStr">
        <is>
          <t>Относительное выполнение плана продаж.</t>
        </is>
      </c>
      <c r="F13" s="11" t="inlineStr">
        <is>
          <t>выручка_факт / выручка_план × 100%</t>
        </is>
      </c>
      <c r="G13" s="11" t="inlineStr">
        <is>
          <t>День / неделя / месяц</t>
        </is>
      </c>
      <c r="H13" s="11" t="inlineStr">
        <is>
          <t>дата × магазин</t>
        </is>
      </c>
      <c r="I13" s="11" t="inlineStr">
        <is>
          <t>дата × магазин</t>
        </is>
      </c>
      <c r="J13" s="11" t="inlineStr">
        <is>
          <t>revenue_fact / revenue_plan * 100</t>
        </is>
      </c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>
        <is>
          <t>Требуется заполнение ИТ</t>
        </is>
      </c>
      <c r="V13" s="13" t="inlineStr"/>
      <c r="W13" s="13" t="inlineStr"/>
      <c r="X13" s="13" t="inlineStr">
        <is>
          <t>Не проверено</t>
        </is>
      </c>
      <c r="Y13" s="13" t="inlineStr"/>
    </row>
    <row r="14">
      <c r="A14" s="11" t="n">
        <v>13</v>
      </c>
      <c r="B14" s="11" t="inlineStr">
        <is>
          <t>Продажи</t>
        </is>
      </c>
      <c r="C14" s="11" t="inlineStr">
        <is>
          <t>Выручка прошлого периода / прошлого года</t>
        </is>
      </c>
      <c r="D14" s="11" t="inlineStr">
        <is>
          <t>Нет</t>
        </is>
      </c>
      <c r="E14" s="11" t="inlineStr">
        <is>
          <t>Сопоставимая выручка за аналогичный прошлый период (WoW/YoY), если доступна в 1С.</t>
        </is>
      </c>
      <c r="F14" s="11" t="inlineStr">
        <is>
          <t>Выручка за сопоставимый период по правилу компании.</t>
        </is>
      </c>
      <c r="G14" s="11" t="inlineStr">
        <is>
          <t>День / неделя / месяц</t>
        </is>
      </c>
      <c r="H14" s="11" t="inlineStr">
        <is>
          <t>дата × магазин</t>
        </is>
      </c>
      <c r="I14" s="11" t="inlineStr">
        <is>
          <t>дата × магазин</t>
        </is>
      </c>
      <c r="J14" s="11" t="inlineStr">
        <is>
          <t>revenue_ly / revenue_prev</t>
        </is>
      </c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  <c r="U14" s="13" t="inlineStr">
        <is>
          <t>Требуется заполнение ИТ</t>
        </is>
      </c>
      <c r="V14" s="13" t="inlineStr"/>
      <c r="W14" s="13" t="inlineStr"/>
      <c r="X14" s="13" t="inlineStr">
        <is>
          <t>Не проверено</t>
        </is>
      </c>
      <c r="Y14" s="13" t="inlineStr"/>
    </row>
    <row r="15">
      <c r="A15" s="11" t="n">
        <v>14</v>
      </c>
      <c r="B15" s="11" t="inlineStr">
        <is>
          <t>Продажи</t>
        </is>
      </c>
      <c r="C15" s="12" t="inlineStr">
        <is>
          <t>Возвраты</t>
        </is>
      </c>
      <c r="D15" s="12" t="inlineStr">
        <is>
          <t>Да</t>
        </is>
      </c>
      <c r="E15" s="11" t="inlineStr">
        <is>
          <t>Сумма возвратов покупателей, уменьшающая или отдельно отражаемая относительно валовой продажи.</t>
        </is>
      </c>
      <c r="F15" s="11" t="inlineStr">
        <is>
          <t>Сумма возвратных операций (правило знака — от ИТ).</t>
        </is>
      </c>
      <c r="G15" s="11" t="inlineStr">
        <is>
          <t>День / неделя / месяц</t>
        </is>
      </c>
      <c r="H15" s="11" t="inlineStr">
        <is>
          <t>дата × магазин</t>
        </is>
      </c>
      <c r="I15" s="11" t="inlineStr">
        <is>
          <t>дата × магазин</t>
        </is>
      </c>
      <c r="J15" s="11" t="inlineStr">
        <is>
          <t>returns_amount</t>
        </is>
      </c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  <c r="U15" s="13" t="inlineStr">
        <is>
          <t>Требуется заполнение ИТ</t>
        </is>
      </c>
      <c r="V15" s="13" t="inlineStr"/>
      <c r="W15" s="13" t="inlineStr"/>
      <c r="X15" s="13" t="inlineStr">
        <is>
          <t>Не проверено</t>
        </is>
      </c>
      <c r="Y15" s="13" t="inlineStr"/>
    </row>
    <row r="16">
      <c r="A16" s="11" t="n">
        <v>15</v>
      </c>
      <c r="B16" s="11" t="inlineStr">
        <is>
          <t>Продажи</t>
        </is>
      </c>
      <c r="C16" s="12" t="inlineStr">
        <is>
          <t>Сторно</t>
        </is>
      </c>
      <c r="D16" s="12" t="inlineStr">
        <is>
          <t>Да</t>
        </is>
      </c>
      <c r="E16" s="11" t="inlineStr">
        <is>
          <t>Сторнирующие движения/документы, влияющие на продажи.</t>
        </is>
      </c>
      <c r="F16" s="11" t="inlineStr">
        <is>
          <t>Сумма сторно по правилам проведения 1С.</t>
        </is>
      </c>
      <c r="G16" s="11" t="inlineStr">
        <is>
          <t>День / неделя / месяц</t>
        </is>
      </c>
      <c r="H16" s="11" t="inlineStr">
        <is>
          <t>дата × магазин</t>
        </is>
      </c>
      <c r="I16" s="11" t="inlineStr">
        <is>
          <t>дата × магазин</t>
        </is>
      </c>
      <c r="J16" s="11" t="inlineStr">
        <is>
          <t>storno_amount</t>
        </is>
      </c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  <c r="U16" s="13" t="inlineStr">
        <is>
          <t>Требуется заполнение ИТ</t>
        </is>
      </c>
      <c r="V16" s="13" t="inlineStr"/>
      <c r="W16" s="13" t="inlineStr"/>
      <c r="X16" s="13" t="inlineStr">
        <is>
          <t>Не проверено</t>
        </is>
      </c>
      <c r="Y16" s="13" t="inlineStr"/>
    </row>
    <row r="17">
      <c r="A17" s="11" t="n">
        <v>16</v>
      </c>
      <c r="B17" s="11" t="inlineStr">
        <is>
          <t>Продажи</t>
        </is>
      </c>
      <c r="C17" s="11" t="inlineStr">
        <is>
          <t>Скидки</t>
        </is>
      </c>
      <c r="D17" s="11" t="inlineStr">
        <is>
          <t>Нет</t>
        </is>
      </c>
      <c r="E17" s="11" t="inlineStr">
        <is>
          <t>Сумма предоставленных скидок за период.</t>
        </is>
      </c>
      <c r="F17" s="11" t="inlineStr">
        <is>
          <t>Сумма скидок из чеков/продаж.</t>
        </is>
      </c>
      <c r="G17" s="11" t="inlineStr">
        <is>
          <t>День / неделя / месяц</t>
        </is>
      </c>
      <c r="H17" s="11" t="inlineStr">
        <is>
          <t>дата × магазин</t>
        </is>
      </c>
      <c r="I17" s="11" t="inlineStr">
        <is>
          <t>дата × магазин</t>
        </is>
      </c>
      <c r="J17" s="11" t="inlineStr">
        <is>
          <t>discount_amount</t>
        </is>
      </c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  <c r="U17" s="13" t="inlineStr">
        <is>
          <t>Требуется заполнение ИТ</t>
        </is>
      </c>
      <c r="V17" s="13" t="inlineStr"/>
      <c r="W17" s="13" t="inlineStr"/>
      <c r="X17" s="13" t="inlineStr">
        <is>
          <t>Не проверено</t>
        </is>
      </c>
      <c r="Y17" s="13" t="inlineStr"/>
    </row>
    <row r="18">
      <c r="A18" s="11" t="n">
        <v>17</v>
      </c>
      <c r="B18" s="11" t="inlineStr">
        <is>
          <t>Продажи</t>
        </is>
      </c>
      <c r="C18" s="11" t="inlineStr">
        <is>
          <t>Продажи до скидок</t>
        </is>
      </c>
      <c r="D18" s="11" t="inlineStr">
        <is>
          <t>Нет</t>
        </is>
      </c>
      <c r="E18" s="11" t="inlineStr">
        <is>
          <t>Выручка до применения скидок (если ведётся).</t>
        </is>
      </c>
      <c r="F18" s="11" t="inlineStr">
        <is>
          <t>Сумма до скидки / цена × количество.</t>
        </is>
      </c>
      <c r="G18" s="11" t="inlineStr">
        <is>
          <t>День / неделя / месяц</t>
        </is>
      </c>
      <c r="H18" s="11" t="inlineStr">
        <is>
          <t>дата × магазин</t>
        </is>
      </c>
      <c r="I18" s="11" t="inlineStr">
        <is>
          <t>дата × магазин</t>
        </is>
      </c>
      <c r="J18" s="11" t="inlineStr">
        <is>
          <t>gross_sales_before_discount</t>
        </is>
      </c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  <c r="U18" s="13" t="inlineStr">
        <is>
          <t>Требуется заполнение ИТ</t>
        </is>
      </c>
      <c r="V18" s="13" t="inlineStr"/>
      <c r="W18" s="13" t="inlineStr"/>
      <c r="X18" s="13" t="inlineStr">
        <is>
          <t>Не проверено</t>
        </is>
      </c>
      <c r="Y18" s="13" t="inlineStr"/>
    </row>
    <row r="19">
      <c r="A19" s="11" t="n">
        <v>18</v>
      </c>
      <c r="B19" s="11" t="inlineStr">
        <is>
          <t>Чеки и покупатели</t>
        </is>
      </c>
      <c r="C19" s="12" t="inlineStr">
        <is>
          <t>Количество чеков</t>
        </is>
      </c>
      <c r="D19" s="12" t="inlineStr">
        <is>
          <t>Да</t>
        </is>
      </c>
      <c r="E19" s="11" t="inlineStr">
        <is>
          <t>Количество чеков из отчёта о продажах ККМ за выбранный период.</t>
        </is>
      </c>
      <c r="F19" s="11" t="inlineStr">
        <is>
          <t>COUNTDistinct чеков / показатель из отчёта ККМ (уточнить ИТ).</t>
        </is>
      </c>
      <c r="G19" s="11" t="inlineStr">
        <is>
          <t>День / неделя / месяц</t>
        </is>
      </c>
      <c r="H19" s="11" t="inlineStr">
        <is>
          <t>дата × магазин</t>
        </is>
      </c>
      <c r="I19" s="11" t="inlineStr">
        <is>
          <t>дата × магазин</t>
        </is>
      </c>
      <c r="J19" s="11" t="inlineStr">
        <is>
          <t>receipt_count</t>
        </is>
      </c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  <c r="U19" s="13" t="inlineStr">
        <is>
          <t>Требуется заполнение ИТ</t>
        </is>
      </c>
      <c r="V19" s="13" t="inlineStr"/>
      <c r="W19" s="13" t="inlineStr"/>
      <c r="X19" s="13" t="inlineStr">
        <is>
          <t>Не проверено</t>
        </is>
      </c>
      <c r="Y19" s="13" t="inlineStr"/>
    </row>
    <row r="20">
      <c r="A20" s="11" t="n">
        <v>19</v>
      </c>
      <c r="B20" s="11" t="inlineStr">
        <is>
          <t>Чеки и покупатели</t>
        </is>
      </c>
      <c r="C20" s="12" t="inlineStr">
        <is>
          <t>Средний чек</t>
        </is>
      </c>
      <c r="D20" s="12" t="inlineStr">
        <is>
          <t>Да</t>
        </is>
      </c>
      <c r="E20" s="11" t="inlineStr">
        <is>
          <t>Средний размер покупки на один чек за одинаковый период и одинаковый набор магазинов.</t>
        </is>
      </c>
      <c r="F20" s="11" t="inlineStr">
        <is>
          <t>выручка / количество чеков</t>
        </is>
      </c>
      <c r="G20" s="11" t="inlineStr">
        <is>
          <t>День / неделя / месяц</t>
        </is>
      </c>
      <c r="H20" s="11" t="inlineStr">
        <is>
          <t>дата × магазин</t>
        </is>
      </c>
      <c r="I20" s="11" t="inlineStr">
        <is>
          <t>дата × магазин</t>
        </is>
      </c>
      <c r="J20" s="11" t="inlineStr">
        <is>
          <t>revenue_fact / receipt_count</t>
        </is>
      </c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>
        <is>
          <t>Требуется заполнение ИТ</t>
        </is>
      </c>
      <c r="V20" s="13" t="inlineStr"/>
      <c r="W20" s="13" t="inlineStr"/>
      <c r="X20" s="13" t="inlineStr">
        <is>
          <t>Не проверено</t>
        </is>
      </c>
      <c r="Y20" s="13" t="inlineStr"/>
    </row>
    <row r="21">
      <c r="A21" s="11" t="n">
        <v>20</v>
      </c>
      <c r="B21" s="11" t="inlineStr">
        <is>
          <t>Чеки и покупатели</t>
        </is>
      </c>
      <c r="C21" s="11" t="inlineStr">
        <is>
          <t>Количество проданных единиц товара</t>
        </is>
      </c>
      <c r="D21" s="11" t="inlineStr">
        <is>
          <t>Нет</t>
        </is>
      </c>
      <c r="E21" s="11" t="inlineStr">
        <is>
          <t>Суммарное количество проданных единиц (SKU/упаковок — уточнить единицу).</t>
        </is>
      </c>
      <c r="F21" s="11" t="inlineStr">
        <is>
          <t>SUM(количество)</t>
        </is>
      </c>
      <c r="G21" s="11" t="inlineStr">
        <is>
          <t>День / неделя / месяц</t>
        </is>
      </c>
      <c r="H21" s="11" t="inlineStr">
        <is>
          <t>дата × магазин × (опц. товар/категория)</t>
        </is>
      </c>
      <c r="I21" s="11" t="inlineStr">
        <is>
          <t>дата × магазин × (опц. товар/категория)</t>
        </is>
      </c>
      <c r="J21" s="11" t="inlineStr">
        <is>
          <t>item_quantity</t>
        </is>
      </c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  <c r="U21" s="13" t="inlineStr">
        <is>
          <t>Требуется заполнение ИТ</t>
        </is>
      </c>
      <c r="V21" s="13" t="inlineStr"/>
      <c r="W21" s="13" t="inlineStr"/>
      <c r="X21" s="13" t="inlineStr">
        <is>
          <t>Не проверено</t>
        </is>
      </c>
      <c r="Y21" s="13" t="inlineStr"/>
    </row>
    <row r="22">
      <c r="A22" s="11" t="n">
        <v>21</v>
      </c>
      <c r="B22" s="11" t="inlineStr">
        <is>
          <t>Чеки и покупатели</t>
        </is>
      </c>
      <c r="C22" s="11" t="inlineStr">
        <is>
          <t>Товаров в чеке</t>
        </is>
      </c>
      <c r="D22" s="11" t="inlineStr">
        <is>
          <t>Нет</t>
        </is>
      </c>
      <c r="E22" s="11" t="inlineStr">
        <is>
          <t>Среднее число позиций/единиц на один чек.</t>
        </is>
      </c>
      <c r="F22" s="11" t="inlineStr">
        <is>
          <t>item_quantity / receipt_count</t>
        </is>
      </c>
      <c r="G22" s="11" t="inlineStr">
        <is>
          <t>День / неделя / месяц</t>
        </is>
      </c>
      <c r="H22" s="11" t="inlineStr">
        <is>
          <t>дата × магазин</t>
        </is>
      </c>
      <c r="I22" s="11" t="inlineStr">
        <is>
          <t>дата × магазин</t>
        </is>
      </c>
      <c r="J22" s="11" t="inlineStr">
        <is>
          <t>item_quantity / receipt_count</t>
        </is>
      </c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>
        <is>
          <t>Требуется заполнение ИТ</t>
        </is>
      </c>
      <c r="V22" s="13" t="inlineStr"/>
      <c r="W22" s="13" t="inlineStr"/>
      <c r="X22" s="13" t="inlineStr">
        <is>
          <t>Не проверено</t>
        </is>
      </c>
      <c r="Y22" s="13" t="inlineStr"/>
    </row>
    <row r="23">
      <c r="A23" s="11" t="n">
        <v>22</v>
      </c>
      <c r="B23" s="11" t="inlineStr">
        <is>
          <t>Чеки и покупатели</t>
        </is>
      </c>
      <c r="C23" s="11" t="inlineStr">
        <is>
          <t>Количество клиентов</t>
        </is>
      </c>
      <c r="D23" s="11" t="inlineStr">
        <is>
          <t>Нет</t>
        </is>
      </c>
      <c r="E23" s="11" t="inlineStr">
        <is>
          <t>Число уникальных клиентов/покупателей, если показатель ведётся в системе.</t>
        </is>
      </c>
      <c r="F23" s="11" t="inlineStr">
        <is>
          <t>COUNT DISTINCT клиентов (если есть идентификатор).</t>
        </is>
      </c>
      <c r="G23" s="11" t="inlineStr">
        <is>
          <t>День / неделя / месяц</t>
        </is>
      </c>
      <c r="H23" s="11" t="inlineStr">
        <is>
          <t>дата × магазин</t>
        </is>
      </c>
      <c r="I23" s="11" t="inlineStr">
        <is>
          <t>дата × магазин</t>
        </is>
      </c>
      <c r="J23" s="11" t="inlineStr">
        <is>
          <t>customer_count</t>
        </is>
      </c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  <c r="U23" s="13" t="inlineStr">
        <is>
          <t>Требуется заполнение ИТ</t>
        </is>
      </c>
      <c r="V23" s="13" t="inlineStr"/>
      <c r="W23" s="13" t="inlineStr"/>
      <c r="X23" s="13" t="inlineStr">
        <is>
          <t>Не проверено</t>
        </is>
      </c>
      <c r="Y23" s="13" t="inlineStr"/>
    </row>
    <row r="24">
      <c r="A24" s="11" t="n">
        <v>23</v>
      </c>
      <c r="B24" s="11" t="inlineStr">
        <is>
          <t>P&amp;L и маржинальность</t>
        </is>
      </c>
      <c r="C24" s="12" t="inlineStr">
        <is>
          <t>Себестоимость продаж</t>
        </is>
      </c>
      <c r="D24" s="12" t="inlineStr">
        <is>
          <t>Да</t>
        </is>
      </c>
      <c r="E24" s="11" t="inlineStr">
        <is>
          <t>Себестоимость товаров по правилам партионного учёта, применяемого в 1С.</t>
        </is>
      </c>
      <c r="F24" s="11" t="inlineStr">
        <is>
          <t>Сумма себестоимости реализованного товара (метод партий — подтвердить ИТ).</t>
        </is>
      </c>
      <c r="G24" s="11" t="inlineStr">
        <is>
          <t>День / неделя / месяц</t>
        </is>
      </c>
      <c r="H24" s="11" t="inlineStr">
        <is>
          <t>дата × магазин</t>
        </is>
      </c>
      <c r="I24" s="11" t="inlineStr">
        <is>
          <t>дата × магазин</t>
        </is>
      </c>
      <c r="J24" s="11" t="inlineStr">
        <is>
          <t>cogs</t>
        </is>
      </c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  <c r="T24" s="13" t="inlineStr"/>
      <c r="U24" s="13" t="inlineStr">
        <is>
          <t>Требуется заполнение ИТ</t>
        </is>
      </c>
      <c r="V24" s="13" t="inlineStr"/>
      <c r="W24" s="13" t="inlineStr"/>
      <c r="X24" s="13" t="inlineStr">
        <is>
          <t>Не проверено</t>
        </is>
      </c>
      <c r="Y24" s="13" t="inlineStr"/>
    </row>
    <row r="25">
      <c r="A25" s="11" t="n">
        <v>24</v>
      </c>
      <c r="B25" s="11" t="inlineStr">
        <is>
          <t>P&amp;L и маржинальность</t>
        </is>
      </c>
      <c r="C25" s="12" t="inlineStr">
        <is>
          <t>Валовая прибыль</t>
        </is>
      </c>
      <c r="D25" s="12" t="inlineStr">
        <is>
          <t>Да</t>
        </is>
      </c>
      <c r="E25" s="11" t="inlineStr">
        <is>
          <t>Прибыль после себестоимости до операционных расходов.</t>
        </is>
      </c>
      <c r="F25" s="11" t="inlineStr">
        <is>
          <t>выручка − себестоимость</t>
        </is>
      </c>
      <c r="G25" s="11" t="inlineStr">
        <is>
          <t>День / неделя / месяц</t>
        </is>
      </c>
      <c r="H25" s="11" t="inlineStr">
        <is>
          <t>дата × магазин</t>
        </is>
      </c>
      <c r="I25" s="11" t="inlineStr">
        <is>
          <t>дата × магазин</t>
        </is>
      </c>
      <c r="J25" s="11" t="inlineStr">
        <is>
          <t>revenue_fact - cogs</t>
        </is>
      </c>
      <c r="K25" s="13" t="inlineStr"/>
      <c r="L25" s="13" t="inlineStr"/>
      <c r="M25" s="13" t="inlineStr"/>
      <c r="N25" s="13" t="inlineStr"/>
      <c r="O25" s="13" t="inlineStr"/>
      <c r="P25" s="13" t="inlineStr"/>
      <c r="Q25" s="13" t="inlineStr"/>
      <c r="R25" s="13" t="inlineStr"/>
      <c r="S25" s="13" t="inlineStr"/>
      <c r="T25" s="13" t="inlineStr"/>
      <c r="U25" s="13" t="inlineStr">
        <is>
          <t>Требуется заполнение ИТ</t>
        </is>
      </c>
      <c r="V25" s="13" t="inlineStr"/>
      <c r="W25" s="13" t="inlineStr"/>
      <c r="X25" s="13" t="inlineStr">
        <is>
          <t>Не проверено</t>
        </is>
      </c>
      <c r="Y25" s="13" t="inlineStr"/>
    </row>
    <row r="26">
      <c r="A26" s="11" t="n">
        <v>25</v>
      </c>
      <c r="B26" s="11" t="inlineStr">
        <is>
          <t>P&amp;L и маржинальность</t>
        </is>
      </c>
      <c r="C26" s="12" t="inlineStr">
        <is>
          <t>Валовая маржа, %</t>
        </is>
      </c>
      <c r="D26" s="12" t="inlineStr">
        <is>
          <t>Да</t>
        </is>
      </c>
      <c r="E26" s="11" t="inlineStr">
        <is>
          <t>Отношение валовой прибыли к выручке.</t>
        </is>
      </c>
      <c r="F26" s="11" t="inlineStr">
        <is>
          <t>валовая_прибыль / выручка × 100%</t>
        </is>
      </c>
      <c r="G26" s="11" t="inlineStr">
        <is>
          <t>День / неделя / месяц</t>
        </is>
      </c>
      <c r="H26" s="11" t="inlineStr">
        <is>
          <t>дата × магазин</t>
        </is>
      </c>
      <c r="I26" s="11" t="inlineStr">
        <is>
          <t>дата × магазин</t>
        </is>
      </c>
      <c r="J26" s="11" t="inlineStr">
        <is>
          <t>(revenue_fact - cogs) / revenue_fact * 100</t>
        </is>
      </c>
      <c r="K26" s="13" t="inlineStr"/>
      <c r="L26" s="13" t="inlineStr"/>
      <c r="M26" s="13" t="inlineStr"/>
      <c r="N26" s="13" t="inlineStr"/>
      <c r="O26" s="13" t="inlineStr"/>
      <c r="P26" s="13" t="inlineStr"/>
      <c r="Q26" s="13" t="inlineStr"/>
      <c r="R26" s="13" t="inlineStr"/>
      <c r="S26" s="13" t="inlineStr"/>
      <c r="T26" s="13" t="inlineStr"/>
      <c r="U26" s="13" t="inlineStr">
        <is>
          <t>Требуется заполнение ИТ</t>
        </is>
      </c>
      <c r="V26" s="13" t="inlineStr"/>
      <c r="W26" s="13" t="inlineStr"/>
      <c r="X26" s="13" t="inlineStr">
        <is>
          <t>Не проверено</t>
        </is>
      </c>
      <c r="Y26" s="13" t="inlineStr"/>
    </row>
    <row r="27">
      <c r="A27" s="11" t="n">
        <v>26</v>
      </c>
      <c r="B27" s="11" t="inlineStr">
        <is>
          <t>P&amp;L и маржинальность</t>
        </is>
      </c>
      <c r="C27" s="11" t="inlineStr">
        <is>
          <t>План валовой прибыли</t>
        </is>
      </c>
      <c r="D27" s="11" t="inlineStr">
        <is>
          <t>Нет</t>
        </is>
      </c>
      <c r="E27" s="11" t="inlineStr">
        <is>
          <t>Плановая валовая прибыль, если утверждается в 1С.</t>
        </is>
      </c>
      <c r="F27" s="11" t="inlineStr">
        <is>
          <t>Значение плана.</t>
        </is>
      </c>
      <c r="G27" s="11" t="inlineStr">
        <is>
          <t>Месяц</t>
        </is>
      </c>
      <c r="H27" s="11" t="inlineStr">
        <is>
          <t>дата × магазин</t>
        </is>
      </c>
      <c r="I27" s="11" t="inlineStr">
        <is>
          <t>дата × магазин</t>
        </is>
      </c>
      <c r="J27" s="11" t="inlineStr">
        <is>
          <t>gross_profit_plan</t>
        </is>
      </c>
      <c r="K27" s="13" t="inlineStr"/>
      <c r="L27" s="13" t="inlineStr"/>
      <c r="M27" s="13" t="inlineStr"/>
      <c r="N27" s="13" t="inlineStr"/>
      <c r="O27" s="13" t="inlineStr"/>
      <c r="P27" s="13" t="inlineStr"/>
      <c r="Q27" s="13" t="inlineStr"/>
      <c r="R27" s="13" t="inlineStr"/>
      <c r="S27" s="13" t="inlineStr"/>
      <c r="T27" s="13" t="inlineStr"/>
      <c r="U27" s="13" t="inlineStr">
        <is>
          <t>Требуется заполнение ИТ</t>
        </is>
      </c>
      <c r="V27" s="13" t="inlineStr"/>
      <c r="W27" s="13" t="inlineStr"/>
      <c r="X27" s="13" t="inlineStr">
        <is>
          <t>Не проверено</t>
        </is>
      </c>
      <c r="Y27" s="13" t="inlineStr"/>
    </row>
    <row r="28">
      <c r="A28" s="11" t="n">
        <v>27</v>
      </c>
      <c r="B28" s="11" t="inlineStr">
        <is>
          <t>P&amp;L и маржинальность</t>
        </is>
      </c>
      <c r="C28" s="11" t="inlineStr">
        <is>
          <t>План валовой маржи, %</t>
        </is>
      </c>
      <c r="D28" s="11" t="inlineStr">
        <is>
          <t>Нет</t>
        </is>
      </c>
      <c r="E28" s="11" t="inlineStr">
        <is>
          <t>Плановая валовая маржа, если утверждается.</t>
        </is>
      </c>
      <c r="F28" s="11" t="inlineStr">
        <is>
          <t>План ВП / план выручки × 100% или готовое поле.</t>
        </is>
      </c>
      <c r="G28" s="11" t="inlineStr">
        <is>
          <t>Месяц</t>
        </is>
      </c>
      <c r="H28" s="11" t="inlineStr">
        <is>
          <t>дата × магазин</t>
        </is>
      </c>
      <c r="I28" s="11" t="inlineStr">
        <is>
          <t>дата × магазин</t>
        </is>
      </c>
      <c r="J28" s="11" t="inlineStr">
        <is>
          <t>gross_margin_plan_pct</t>
        </is>
      </c>
      <c r="K28" s="13" t="inlineStr"/>
      <c r="L28" s="13" t="inlineStr"/>
      <c r="M28" s="13" t="inlineStr"/>
      <c r="N28" s="13" t="inlineStr"/>
      <c r="O28" s="13" t="inlineStr"/>
      <c r="P28" s="13" t="inlineStr"/>
      <c r="Q28" s="13" t="inlineStr"/>
      <c r="R28" s="13" t="inlineStr"/>
      <c r="S28" s="13" t="inlineStr"/>
      <c r="T28" s="13" t="inlineStr"/>
      <c r="U28" s="13" t="inlineStr">
        <is>
          <t>Требуется заполнение ИТ</t>
        </is>
      </c>
      <c r="V28" s="13" t="inlineStr"/>
      <c r="W28" s="13" t="inlineStr"/>
      <c r="X28" s="13" t="inlineStr">
        <is>
          <t>Не проверено</t>
        </is>
      </c>
      <c r="Y28" s="13" t="inlineStr"/>
    </row>
    <row r="29">
      <c r="A29" s="11" t="n">
        <v>28</v>
      </c>
      <c r="B29" s="11" t="inlineStr">
        <is>
          <t>P&amp;L и маржинальность</t>
        </is>
      </c>
      <c r="C29" s="12" t="inlineStr">
        <is>
          <t>OPEX всего</t>
        </is>
      </c>
      <c r="D29" s="12" t="inlineStr">
        <is>
          <t>Да</t>
        </is>
      </c>
      <c r="E29" s="11" t="inlineStr">
        <is>
          <t>Сумма операционных расходов магазина/сети за период.</t>
        </is>
      </c>
      <c r="F29" s="11" t="inlineStr">
        <is>
          <t>SUM(статей OPEX) по утверждённому перечню.</t>
        </is>
      </c>
      <c r="G29" s="11" t="inlineStr">
        <is>
          <t>Месяц</t>
        </is>
      </c>
      <c r="H29" s="11" t="inlineStr">
        <is>
          <t>месяц × магазин</t>
        </is>
      </c>
      <c r="I29" s="11" t="inlineStr">
        <is>
          <t>месяц × магазин × статья</t>
        </is>
      </c>
      <c r="J29" s="11" t="inlineStr">
        <is>
          <t>opex_total</t>
        </is>
      </c>
      <c r="K29" s="13" t="inlineStr"/>
      <c r="L29" s="13" t="inlineStr"/>
      <c r="M29" s="13" t="inlineStr"/>
      <c r="N29" s="13" t="inlineStr"/>
      <c r="O29" s="13" t="inlineStr"/>
      <c r="P29" s="13" t="inlineStr"/>
      <c r="Q29" s="13" t="inlineStr"/>
      <c r="R29" s="13" t="inlineStr"/>
      <c r="S29" s="13" t="inlineStr"/>
      <c r="T29" s="13" t="inlineStr"/>
      <c r="U29" s="13" t="inlineStr">
        <is>
          <t>Требуется заполнение ИТ</t>
        </is>
      </c>
      <c r="V29" s="13" t="inlineStr"/>
      <c r="W29" s="13" t="inlineStr"/>
      <c r="X29" s="13" t="inlineStr">
        <is>
          <t>Не проверено</t>
        </is>
      </c>
      <c r="Y29" s="13" t="inlineStr"/>
    </row>
    <row r="30">
      <c r="A30" s="11" t="n">
        <v>29</v>
      </c>
      <c r="B30" s="11" t="inlineStr">
        <is>
          <t>P&amp;L и маржинальность</t>
        </is>
      </c>
      <c r="C30" s="12" t="inlineStr">
        <is>
          <t>ФОТ</t>
        </is>
      </c>
      <c r="D30" s="12" t="inlineStr">
        <is>
          <t>Да</t>
        </is>
      </c>
      <c r="E30" s="11" t="inlineStr">
        <is>
          <t>Фонд оплаты труда (начисления), относимый к магазину/периоду.</t>
        </is>
      </c>
      <c r="F30" s="11" t="inlineStr">
        <is>
          <t>Сумма ФОТ по правилам учёта персонала.</t>
        </is>
      </c>
      <c r="G30" s="11" t="inlineStr">
        <is>
          <t>Месяц</t>
        </is>
      </c>
      <c r="H30" s="11" t="inlineStr">
        <is>
          <t>месяц × магазин</t>
        </is>
      </c>
      <c r="I30" s="11" t="inlineStr">
        <is>
          <t>месяц × магазин</t>
        </is>
      </c>
      <c r="J30" s="11" t="inlineStr">
        <is>
          <t>payroll</t>
        </is>
      </c>
      <c r="K30" s="13" t="inlineStr"/>
      <c r="L30" s="13" t="inlineStr"/>
      <c r="M30" s="13" t="inlineStr"/>
      <c r="N30" s="13" t="inlineStr"/>
      <c r="O30" s="13" t="inlineStr"/>
      <c r="P30" s="13" t="inlineStr"/>
      <c r="Q30" s="13" t="inlineStr"/>
      <c r="R30" s="13" t="inlineStr"/>
      <c r="S30" s="13" t="inlineStr"/>
      <c r="T30" s="13" t="inlineStr"/>
      <c r="U30" s="13" t="inlineStr">
        <is>
          <t>Требуется заполнение ИТ</t>
        </is>
      </c>
      <c r="V30" s="13" t="inlineStr"/>
      <c r="W30" s="13" t="inlineStr"/>
      <c r="X30" s="13" t="inlineStr">
        <is>
          <t>Не проверено</t>
        </is>
      </c>
      <c r="Y30" s="13" t="inlineStr"/>
    </row>
    <row r="31">
      <c r="A31" s="11" t="n">
        <v>30</v>
      </c>
      <c r="B31" s="11" t="inlineStr">
        <is>
          <t>P&amp;L и маржинальность</t>
        </is>
      </c>
      <c r="C31" s="11" t="inlineStr">
        <is>
          <t>Аренда</t>
        </is>
      </c>
      <c r="D31" s="11" t="inlineStr">
        <is>
          <t>Нет</t>
        </is>
      </c>
      <c r="E31" s="11" t="inlineStr">
        <is>
          <t>Расходы на аренду торговых площадей.</t>
        </is>
      </c>
      <c r="F31" s="11" t="inlineStr">
        <is>
          <t>Сумма по статье «Аренда».</t>
        </is>
      </c>
      <c r="G31" s="11" t="inlineStr">
        <is>
          <t>Месяц</t>
        </is>
      </c>
      <c r="H31" s="11" t="inlineStr">
        <is>
          <t>месяц × магазин</t>
        </is>
      </c>
      <c r="I31" s="11" t="inlineStr">
        <is>
          <t>месяц × магазин</t>
        </is>
      </c>
      <c r="J31" s="11" t="inlineStr">
        <is>
          <t>rent</t>
        </is>
      </c>
      <c r="K31" s="13" t="inlineStr"/>
      <c r="L31" s="13" t="inlineStr"/>
      <c r="M31" s="13" t="inlineStr"/>
      <c r="N31" s="13" t="inlineStr"/>
      <c r="O31" s="13" t="inlineStr"/>
      <c r="P31" s="13" t="inlineStr"/>
      <c r="Q31" s="13" t="inlineStr"/>
      <c r="R31" s="13" t="inlineStr"/>
      <c r="S31" s="13" t="inlineStr"/>
      <c r="T31" s="13" t="inlineStr"/>
      <c r="U31" s="13" t="inlineStr">
        <is>
          <t>Требуется заполнение ИТ</t>
        </is>
      </c>
      <c r="V31" s="13" t="inlineStr"/>
      <c r="W31" s="13" t="inlineStr"/>
      <c r="X31" s="13" t="inlineStr">
        <is>
          <t>Не проверено</t>
        </is>
      </c>
      <c r="Y31" s="13" t="inlineStr"/>
    </row>
    <row r="32">
      <c r="A32" s="11" t="n">
        <v>31</v>
      </c>
      <c r="B32" s="11" t="inlineStr">
        <is>
          <t>P&amp;L и маржинальность</t>
        </is>
      </c>
      <c r="C32" s="11" t="inlineStr">
        <is>
          <t>Коммунальные услуги</t>
        </is>
      </c>
      <c r="D32" s="11" t="inlineStr">
        <is>
          <t>Нет</t>
        </is>
      </c>
      <c r="E32" s="11" t="inlineStr">
        <is>
          <t>Коммунальные и энергозатраты.</t>
        </is>
      </c>
      <c r="F32" s="11" t="inlineStr">
        <is>
          <t>Сумма по статье.</t>
        </is>
      </c>
      <c r="G32" s="11" t="inlineStr">
        <is>
          <t>Месяц</t>
        </is>
      </c>
      <c r="H32" s="11" t="inlineStr">
        <is>
          <t>месяц × магазин</t>
        </is>
      </c>
      <c r="I32" s="11" t="inlineStr">
        <is>
          <t>месяц × магазин</t>
        </is>
      </c>
      <c r="J32" s="11" t="inlineStr">
        <is>
          <t>utilities</t>
        </is>
      </c>
      <c r="K32" s="13" t="inlineStr"/>
      <c r="L32" s="13" t="inlineStr"/>
      <c r="M32" s="13" t="inlineStr"/>
      <c r="N32" s="13" t="inlineStr"/>
      <c r="O32" s="13" t="inlineStr"/>
      <c r="P32" s="13" t="inlineStr"/>
      <c r="Q32" s="13" t="inlineStr"/>
      <c r="R32" s="13" t="inlineStr"/>
      <c r="S32" s="13" t="inlineStr"/>
      <c r="T32" s="13" t="inlineStr"/>
      <c r="U32" s="13" t="inlineStr">
        <is>
          <t>Требуется заполнение ИТ</t>
        </is>
      </c>
      <c r="V32" s="13" t="inlineStr"/>
      <c r="W32" s="13" t="inlineStr"/>
      <c r="X32" s="13" t="inlineStr">
        <is>
          <t>Не проверено</t>
        </is>
      </c>
      <c r="Y32" s="13" t="inlineStr"/>
    </row>
    <row r="33">
      <c r="A33" s="11" t="n">
        <v>32</v>
      </c>
      <c r="B33" s="11" t="inlineStr">
        <is>
          <t>P&amp;L и маржинальность</t>
        </is>
      </c>
      <c r="C33" s="11" t="inlineStr">
        <is>
          <t>Маркетинг</t>
        </is>
      </c>
      <c r="D33" s="11" t="inlineStr">
        <is>
          <t>Нет</t>
        </is>
      </c>
      <c r="E33" s="11" t="inlineStr">
        <is>
          <t>Маркетинговые и рекламные расходы.</t>
        </is>
      </c>
      <c r="F33" s="11" t="inlineStr">
        <is>
          <t>Сумма по статье.</t>
        </is>
      </c>
      <c r="G33" s="11" t="inlineStr">
        <is>
          <t>Месяц</t>
        </is>
      </c>
      <c r="H33" s="11" t="inlineStr">
        <is>
          <t>месяц × магазин</t>
        </is>
      </c>
      <c r="I33" s="11" t="inlineStr">
        <is>
          <t>месяц × магазин</t>
        </is>
      </c>
      <c r="J33" s="11" t="inlineStr">
        <is>
          <t>marketing</t>
        </is>
      </c>
      <c r="K33" s="13" t="inlineStr"/>
      <c r="L33" s="13" t="inlineStr"/>
      <c r="M33" s="13" t="inlineStr"/>
      <c r="N33" s="13" t="inlineStr"/>
      <c r="O33" s="13" t="inlineStr"/>
      <c r="P33" s="13" t="inlineStr"/>
      <c r="Q33" s="13" t="inlineStr"/>
      <c r="R33" s="13" t="inlineStr"/>
      <c r="S33" s="13" t="inlineStr"/>
      <c r="T33" s="13" t="inlineStr"/>
      <c r="U33" s="13" t="inlineStr">
        <is>
          <t>Требуется заполнение ИТ</t>
        </is>
      </c>
      <c r="V33" s="13" t="inlineStr"/>
      <c r="W33" s="13" t="inlineStr"/>
      <c r="X33" s="13" t="inlineStr">
        <is>
          <t>Не проверено</t>
        </is>
      </c>
      <c r="Y33" s="13" t="inlineStr"/>
    </row>
    <row r="34">
      <c r="A34" s="11" t="n">
        <v>33</v>
      </c>
      <c r="B34" s="11" t="inlineStr">
        <is>
          <t>P&amp;L и маржинальность</t>
        </is>
      </c>
      <c r="C34" s="11" t="inlineStr">
        <is>
          <t>Эквайринг / банковские комиссии</t>
        </is>
      </c>
      <c r="D34" s="11" t="inlineStr">
        <is>
          <t>Нет</t>
        </is>
      </c>
      <c r="E34" s="11" t="inlineStr">
        <is>
          <t>Комиссии банков и эквайринга.</t>
        </is>
      </c>
      <c r="F34" s="11" t="inlineStr">
        <is>
          <t>Сумма по статье.</t>
        </is>
      </c>
      <c r="G34" s="11" t="inlineStr">
        <is>
          <t>Месяц</t>
        </is>
      </c>
      <c r="H34" s="11" t="inlineStr">
        <is>
          <t>месяц × магазин</t>
        </is>
      </c>
      <c r="I34" s="11" t="inlineStr">
        <is>
          <t>месяц × магазин</t>
        </is>
      </c>
      <c r="J34" s="11" t="inlineStr">
        <is>
          <t>acquiring_fees</t>
        </is>
      </c>
      <c r="K34" s="13" t="inlineStr"/>
      <c r="L34" s="13" t="inlineStr"/>
      <c r="M34" s="13" t="inlineStr"/>
      <c r="N34" s="13" t="inlineStr"/>
      <c r="O34" s="13" t="inlineStr"/>
      <c r="P34" s="13" t="inlineStr"/>
      <c r="Q34" s="13" t="inlineStr"/>
      <c r="R34" s="13" t="inlineStr"/>
      <c r="S34" s="13" t="inlineStr"/>
      <c r="T34" s="13" t="inlineStr"/>
      <c r="U34" s="13" t="inlineStr">
        <is>
          <t>Требуется заполнение ИТ</t>
        </is>
      </c>
      <c r="V34" s="13" t="inlineStr"/>
      <c r="W34" s="13" t="inlineStr"/>
      <c r="X34" s="13" t="inlineStr">
        <is>
          <t>Не проверено</t>
        </is>
      </c>
      <c r="Y34" s="13" t="inlineStr"/>
    </row>
    <row r="35">
      <c r="A35" s="11" t="n">
        <v>34</v>
      </c>
      <c r="B35" s="11" t="inlineStr">
        <is>
          <t>P&amp;L и маржинальность</t>
        </is>
      </c>
      <c r="C35" s="11" t="inlineStr">
        <is>
          <t>Логистика</t>
        </is>
      </c>
      <c r="D35" s="11" t="inlineStr">
        <is>
          <t>Нет</t>
        </is>
      </c>
      <c r="E35" s="11" t="inlineStr">
        <is>
          <t>Логистические расходы, относимые на магазин.</t>
        </is>
      </c>
      <c r="F35" s="11" t="inlineStr">
        <is>
          <t>Сумма по статье.</t>
        </is>
      </c>
      <c r="G35" s="11" t="inlineStr">
        <is>
          <t>Месяц</t>
        </is>
      </c>
      <c r="H35" s="11" t="inlineStr">
        <is>
          <t>месяц × магазин</t>
        </is>
      </c>
      <c r="I35" s="11" t="inlineStr">
        <is>
          <t>месяц × магазин</t>
        </is>
      </c>
      <c r="J35" s="11" t="inlineStr">
        <is>
          <t>logistics</t>
        </is>
      </c>
      <c r="K35" s="13" t="inlineStr"/>
      <c r="L35" s="13" t="inlineStr"/>
      <c r="M35" s="13" t="inlineStr"/>
      <c r="N35" s="13" t="inlineStr"/>
      <c r="O35" s="13" t="inlineStr"/>
      <c r="P35" s="13" t="inlineStr"/>
      <c r="Q35" s="13" t="inlineStr"/>
      <c r="R35" s="13" t="inlineStr"/>
      <c r="S35" s="13" t="inlineStr"/>
      <c r="T35" s="13" t="inlineStr"/>
      <c r="U35" s="13" t="inlineStr">
        <is>
          <t>Требуется заполнение ИТ</t>
        </is>
      </c>
      <c r="V35" s="13" t="inlineStr"/>
      <c r="W35" s="13" t="inlineStr"/>
      <c r="X35" s="13" t="inlineStr">
        <is>
          <t>Не проверено</t>
        </is>
      </c>
      <c r="Y35" s="13" t="inlineStr"/>
    </row>
    <row r="36">
      <c r="A36" s="11" t="n">
        <v>35</v>
      </c>
      <c r="B36" s="11" t="inlineStr">
        <is>
          <t>P&amp;L и маржинальность</t>
        </is>
      </c>
      <c r="C36" s="11" t="inlineStr">
        <is>
          <t>Ремонт и эксплуатация</t>
        </is>
      </c>
      <c r="D36" s="11" t="inlineStr">
        <is>
          <t>Нет</t>
        </is>
      </c>
      <c r="E36" s="11" t="inlineStr">
        <is>
          <t>Ремонт, содержание, эксплуатация.</t>
        </is>
      </c>
      <c r="F36" s="11" t="inlineStr">
        <is>
          <t>Сумма по статье.</t>
        </is>
      </c>
      <c r="G36" s="11" t="inlineStr">
        <is>
          <t>Месяц</t>
        </is>
      </c>
      <c r="H36" s="11" t="inlineStr">
        <is>
          <t>месяц × магазин</t>
        </is>
      </c>
      <c r="I36" s="11" t="inlineStr">
        <is>
          <t>месяц × магазин</t>
        </is>
      </c>
      <c r="J36" s="11" t="inlineStr">
        <is>
          <t>maintenance</t>
        </is>
      </c>
      <c r="K36" s="13" t="inlineStr"/>
      <c r="L36" s="13" t="inlineStr"/>
      <c r="M36" s="13" t="inlineStr"/>
      <c r="N36" s="13" t="inlineStr"/>
      <c r="O36" s="13" t="inlineStr"/>
      <c r="P36" s="13" t="inlineStr"/>
      <c r="Q36" s="13" t="inlineStr"/>
      <c r="R36" s="13" t="inlineStr"/>
      <c r="S36" s="13" t="inlineStr"/>
      <c r="T36" s="13" t="inlineStr"/>
      <c r="U36" s="13" t="inlineStr">
        <is>
          <t>Требуется заполнение ИТ</t>
        </is>
      </c>
      <c r="V36" s="13" t="inlineStr"/>
      <c r="W36" s="13" t="inlineStr"/>
      <c r="X36" s="13" t="inlineStr">
        <is>
          <t>Не проверено</t>
        </is>
      </c>
      <c r="Y36" s="13" t="inlineStr"/>
    </row>
    <row r="37">
      <c r="A37" s="11" t="n">
        <v>36</v>
      </c>
      <c r="B37" s="11" t="inlineStr">
        <is>
          <t>P&amp;L и маржинальность</t>
        </is>
      </c>
      <c r="C37" s="11" t="inlineStr">
        <is>
          <t>IT / связь</t>
        </is>
      </c>
      <c r="D37" s="11" t="inlineStr">
        <is>
          <t>Нет</t>
        </is>
      </c>
      <c r="E37" s="11" t="inlineStr">
        <is>
          <t>IT, связь, ПО, сервисы.</t>
        </is>
      </c>
      <c r="F37" s="11" t="inlineStr">
        <is>
          <t>Сумма по статье.</t>
        </is>
      </c>
      <c r="G37" s="11" t="inlineStr">
        <is>
          <t>Месяц</t>
        </is>
      </c>
      <c r="H37" s="11" t="inlineStr">
        <is>
          <t>месяц × магазин</t>
        </is>
      </c>
      <c r="I37" s="11" t="inlineStr">
        <is>
          <t>месяц × магазин</t>
        </is>
      </c>
      <c r="J37" s="11" t="inlineStr">
        <is>
          <t>it_telecom</t>
        </is>
      </c>
      <c r="K37" s="13" t="inlineStr"/>
      <c r="L37" s="13" t="inlineStr"/>
      <c r="M37" s="13" t="inlineStr"/>
      <c r="N37" s="13" t="inlineStr"/>
      <c r="O37" s="13" t="inlineStr"/>
      <c r="P37" s="13" t="inlineStr"/>
      <c r="Q37" s="13" t="inlineStr"/>
      <c r="R37" s="13" t="inlineStr"/>
      <c r="S37" s="13" t="inlineStr"/>
      <c r="T37" s="13" t="inlineStr"/>
      <c r="U37" s="13" t="inlineStr">
        <is>
          <t>Требуется заполнение ИТ</t>
        </is>
      </c>
      <c r="V37" s="13" t="inlineStr"/>
      <c r="W37" s="13" t="inlineStr"/>
      <c r="X37" s="13" t="inlineStr">
        <is>
          <t>Не проверено</t>
        </is>
      </c>
      <c r="Y37" s="13" t="inlineStr"/>
    </row>
    <row r="38">
      <c r="A38" s="11" t="n">
        <v>37</v>
      </c>
      <c r="B38" s="11" t="inlineStr">
        <is>
          <t>P&amp;L и маржинальность</t>
        </is>
      </c>
      <c r="C38" s="11" t="inlineStr">
        <is>
          <t>Прочие операционные расходы</t>
        </is>
      </c>
      <c r="D38" s="11" t="inlineStr">
        <is>
          <t>Нет</t>
        </is>
      </c>
      <c r="E38" s="11" t="inlineStr">
        <is>
          <t>Прочие OPEX, не попавшие в перечисленные статьи.</t>
        </is>
      </c>
      <c r="F38" s="11" t="inlineStr">
        <is>
          <t>Сумма прочих статей.</t>
        </is>
      </c>
      <c r="G38" s="11" t="inlineStr">
        <is>
          <t>Месяц</t>
        </is>
      </c>
      <c r="H38" s="11" t="inlineStr">
        <is>
          <t>месяц × магазин</t>
        </is>
      </c>
      <c r="I38" s="11" t="inlineStr">
        <is>
          <t>месяц × магазин</t>
        </is>
      </c>
      <c r="J38" s="11" t="inlineStr">
        <is>
          <t>other_opex</t>
        </is>
      </c>
      <c r="K38" s="13" t="inlineStr"/>
      <c r="L38" s="13" t="inlineStr"/>
      <c r="M38" s="13" t="inlineStr"/>
      <c r="N38" s="13" t="inlineStr"/>
      <c r="O38" s="13" t="inlineStr"/>
      <c r="P38" s="13" t="inlineStr"/>
      <c r="Q38" s="13" t="inlineStr"/>
      <c r="R38" s="13" t="inlineStr"/>
      <c r="S38" s="13" t="inlineStr"/>
      <c r="T38" s="13" t="inlineStr"/>
      <c r="U38" s="13" t="inlineStr">
        <is>
          <t>Требуется заполнение ИТ</t>
        </is>
      </c>
      <c r="V38" s="13" t="inlineStr"/>
      <c r="W38" s="13" t="inlineStr"/>
      <c r="X38" s="13" t="inlineStr">
        <is>
          <t>Не проверено</t>
        </is>
      </c>
      <c r="Y38" s="13" t="inlineStr"/>
    </row>
    <row r="39">
      <c r="A39" s="11" t="n">
        <v>38</v>
      </c>
      <c r="B39" s="11" t="inlineStr">
        <is>
          <t>P&amp;L и маржинальность</t>
        </is>
      </c>
      <c r="C39" s="12" t="inlineStr">
        <is>
          <t>EBITDA / операционная прибыль</t>
        </is>
      </c>
      <c r="D39" s="12" t="inlineStr">
        <is>
          <t>Да</t>
        </is>
      </c>
      <c r="E39" s="11" t="inlineStr">
        <is>
          <t>Операционный финансовый итог магазина/сети. Точная формула должна быть подтверждена ИТ и финансами.</t>
        </is>
      </c>
      <c r="F39" s="11" t="inlineStr">
        <is>
          <t>Требуется подтверждение ИТ/финансов (типично: валовая прибыль − OPEX; уточнить).</t>
        </is>
      </c>
      <c r="G39" s="11" t="inlineStr">
        <is>
          <t>Месяц</t>
        </is>
      </c>
      <c r="H39" s="11" t="inlineStr">
        <is>
          <t>месяц × магазин</t>
        </is>
      </c>
      <c r="I39" s="11" t="inlineStr">
        <is>
          <t>месяц × магазин</t>
        </is>
      </c>
      <c r="J39" s="11" t="inlineStr">
        <is>
          <t>ebitda / operating_profit</t>
        </is>
      </c>
      <c r="K39" s="13" t="inlineStr"/>
      <c r="L39" s="13" t="inlineStr"/>
      <c r="M39" s="13" t="inlineStr"/>
      <c r="N39" s="13" t="inlineStr"/>
      <c r="O39" s="13" t="inlineStr"/>
      <c r="P39" s="13" t="inlineStr"/>
      <c r="Q39" s="13" t="inlineStr"/>
      <c r="R39" s="13" t="inlineStr"/>
      <c r="S39" s="13" t="inlineStr"/>
      <c r="T39" s="13" t="inlineStr"/>
      <c r="U39" s="13" t="inlineStr">
        <is>
          <t>Требуется заполнение ИТ</t>
        </is>
      </c>
      <c r="V39" s="13" t="inlineStr"/>
      <c r="W39" s="13" t="inlineStr"/>
      <c r="X39" s="13" t="inlineStr">
        <is>
          <t>Не проверено</t>
        </is>
      </c>
      <c r="Y39" s="13" t="inlineStr"/>
    </row>
    <row r="40">
      <c r="A40" s="11" t="n">
        <v>39</v>
      </c>
      <c r="B40" s="11" t="inlineStr">
        <is>
          <t>Запасы и выбытие</t>
        </is>
      </c>
      <c r="C40" s="12" t="inlineStr">
        <is>
          <t>Товарный остаток в штуках на дату</t>
        </is>
      </c>
      <c r="D40" s="12" t="inlineStr">
        <is>
          <t>Да</t>
        </is>
      </c>
      <c r="E40" s="11" t="inlineStr">
        <is>
          <t>Остаток товара на конец выбранной даты.</t>
        </is>
      </c>
      <c r="F40" s="11" t="inlineStr">
        <is>
          <t>Остаток на конец дня из регистра накопления остатков.</t>
        </is>
      </c>
      <c r="G40" s="11" t="inlineStr">
        <is>
          <t>День (снимок)</t>
        </is>
      </c>
      <c r="H40" s="11" t="inlineStr">
        <is>
          <t>дата × магазин × (товар)</t>
        </is>
      </c>
      <c r="I40" s="11" t="inlineStr">
        <is>
          <t>дата × магазин × товар</t>
        </is>
      </c>
      <c r="J40" s="11" t="inlineStr">
        <is>
          <t>stock_quantity</t>
        </is>
      </c>
      <c r="K40" s="13" t="inlineStr"/>
      <c r="L40" s="13" t="inlineStr"/>
      <c r="M40" s="13" t="inlineStr"/>
      <c r="N40" s="13" t="inlineStr"/>
      <c r="O40" s="13" t="inlineStr"/>
      <c r="P40" s="13" t="inlineStr"/>
      <c r="Q40" s="13" t="inlineStr"/>
      <c r="R40" s="13" t="inlineStr"/>
      <c r="S40" s="13" t="inlineStr"/>
      <c r="T40" s="13" t="inlineStr"/>
      <c r="U40" s="13" t="inlineStr">
        <is>
          <t>Требуется заполнение ИТ</t>
        </is>
      </c>
      <c r="V40" s="13" t="inlineStr"/>
      <c r="W40" s="13" t="inlineStr"/>
      <c r="X40" s="13" t="inlineStr">
        <is>
          <t>Не проверено</t>
        </is>
      </c>
      <c r="Y40" s="13" t="inlineStr"/>
    </row>
    <row r="41">
      <c r="A41" s="11" t="n">
        <v>40</v>
      </c>
      <c r="B41" s="11" t="inlineStr">
        <is>
          <t>Запасы и выбытие</t>
        </is>
      </c>
      <c r="C41" s="12" t="inlineStr">
        <is>
          <t>Товарный остаток в рублях на дату</t>
        </is>
      </c>
      <c r="D41" s="12" t="inlineStr">
        <is>
          <t>Да</t>
        </is>
      </c>
      <c r="E41" s="11" t="inlineStr">
        <is>
          <t>Стоимостная оценка остатка на конец даты.</t>
        </is>
      </c>
      <c r="F41" s="11" t="inlineStr">
        <is>
          <t>Остаток в сумме по правилам оценки запасов 1С.</t>
        </is>
      </c>
      <c r="G41" s="11" t="inlineStr">
        <is>
          <t>День (снимок)</t>
        </is>
      </c>
      <c r="H41" s="11" t="inlineStr">
        <is>
          <t>дата × магазин × (товар)</t>
        </is>
      </c>
      <c r="I41" s="11" t="inlineStr">
        <is>
          <t>дата × магазин × товар</t>
        </is>
      </c>
      <c r="J41" s="11" t="inlineStr">
        <is>
          <t>stock_value</t>
        </is>
      </c>
      <c r="K41" s="13" t="inlineStr"/>
      <c r="L41" s="13" t="inlineStr"/>
      <c r="M41" s="13" t="inlineStr"/>
      <c r="N41" s="13" t="inlineStr"/>
      <c r="O41" s="13" t="inlineStr"/>
      <c r="P41" s="13" t="inlineStr"/>
      <c r="Q41" s="13" t="inlineStr"/>
      <c r="R41" s="13" t="inlineStr"/>
      <c r="S41" s="13" t="inlineStr"/>
      <c r="T41" s="13" t="inlineStr"/>
      <c r="U41" s="13" t="inlineStr">
        <is>
          <t>Требуется заполнение ИТ</t>
        </is>
      </c>
      <c r="V41" s="13" t="inlineStr"/>
      <c r="W41" s="13" t="inlineStr"/>
      <c r="X41" s="13" t="inlineStr">
        <is>
          <t>Не проверено</t>
        </is>
      </c>
      <c r="Y41" s="13" t="inlineStr"/>
    </row>
    <row r="42">
      <c r="A42" s="11" t="n">
        <v>41</v>
      </c>
      <c r="B42" s="11" t="inlineStr">
        <is>
          <t>Запасы и выбытие</t>
        </is>
      </c>
      <c r="C42" s="12" t="inlineStr">
        <is>
          <t>Списание товара</t>
        </is>
      </c>
      <c r="D42" s="12" t="inlineStr">
        <is>
          <t>Да</t>
        </is>
      </c>
      <c r="E42" s="11" t="inlineStr">
        <is>
          <t>Выбытие товара с обязательным разделением по подтипам списания.</t>
        </is>
      </c>
      <c r="F42" s="11" t="inlineStr">
        <is>
          <t>Сумма/количество списаний по типам.</t>
        </is>
      </c>
      <c r="G42" s="11" t="inlineStr">
        <is>
          <t>День / неделя / месяц</t>
        </is>
      </c>
      <c r="H42" s="11" t="inlineStr">
        <is>
          <t>дата × магазин × (опц. товар/категория)</t>
        </is>
      </c>
      <c r="I42" s="11" t="inlineStr">
        <is>
          <t>дата × магазин × тип/подтип</t>
        </is>
      </c>
      <c r="J42" s="11" t="inlineStr">
        <is>
          <t>writeoff_amount / writeoff_qty</t>
        </is>
      </c>
      <c r="K42" s="13" t="inlineStr"/>
      <c r="L42" s="13" t="inlineStr"/>
      <c r="M42" s="13" t="inlineStr"/>
      <c r="N42" s="13" t="inlineStr"/>
      <c r="O42" s="13" t="inlineStr"/>
      <c r="P42" s="13" t="inlineStr"/>
      <c r="Q42" s="13" t="inlineStr"/>
      <c r="R42" s="13" t="inlineStr"/>
      <c r="S42" s="13" t="inlineStr"/>
      <c r="T42" s="13" t="inlineStr"/>
      <c r="U42" s="13" t="inlineStr">
        <is>
          <t>Требуется заполнение ИТ</t>
        </is>
      </c>
      <c r="V42" s="13" t="inlineStr"/>
      <c r="W42" s="13" t="inlineStr"/>
      <c r="X42" s="13" t="inlineStr">
        <is>
          <t>Не проверено</t>
        </is>
      </c>
      <c r="Y42" s="13" t="inlineStr"/>
    </row>
    <row r="43">
      <c r="A43" s="11" t="n">
        <v>42</v>
      </c>
      <c r="B43" s="11" t="inlineStr">
        <is>
          <t>Запасы и выбытие</t>
        </is>
      </c>
      <c r="C43" s="12" t="inlineStr">
        <is>
          <t>Подтип списания</t>
        </is>
      </c>
      <c r="D43" s="12" t="inlineStr">
        <is>
          <t>Да</t>
        </is>
      </c>
      <c r="E43" s="11" t="inlineStr">
        <is>
          <t>Классификация причины/вида списания (ФРОВ, брак, срок годности и т.п. — перечень от ИТ).</t>
        </is>
      </c>
      <c r="F43" s="11" t="inlineStr">
        <is>
          <t>Классификатор вида выбытия.</t>
        </is>
      </c>
      <c r="G43" s="11" t="inlineStr">
        <is>
          <t>Справочник / движение</t>
        </is>
      </c>
      <c r="H43" s="11" t="inlineStr">
        <is>
          <t>тип × подтип</t>
        </is>
      </c>
      <c r="I43" s="11" t="inlineStr">
        <is>
          <t>тип × подтип</t>
        </is>
      </c>
      <c r="J43" s="11" t="inlineStr">
        <is>
          <t>writeoff_subtype</t>
        </is>
      </c>
      <c r="K43" s="13" t="inlineStr"/>
      <c r="L43" s="13" t="inlineStr"/>
      <c r="M43" s="13" t="inlineStr"/>
      <c r="N43" s="13" t="inlineStr"/>
      <c r="O43" s="13" t="inlineStr"/>
      <c r="P43" s="13" t="inlineStr"/>
      <c r="Q43" s="13" t="inlineStr"/>
      <c r="R43" s="13" t="inlineStr"/>
      <c r="S43" s="13" t="inlineStr"/>
      <c r="T43" s="13" t="inlineStr"/>
      <c r="U43" s="13" t="inlineStr">
        <is>
          <t>Требуется заполнение ИТ</t>
        </is>
      </c>
      <c r="V43" s="13" t="inlineStr"/>
      <c r="W43" s="13" t="inlineStr"/>
      <c r="X43" s="13" t="inlineStr">
        <is>
          <t>Не проверено</t>
        </is>
      </c>
      <c r="Y43" s="13" t="inlineStr"/>
    </row>
    <row r="44">
      <c r="A44" s="11" t="n">
        <v>43</v>
      </c>
      <c r="B44" s="11" t="inlineStr">
        <is>
          <t>Запасы и выбытие</t>
        </is>
      </c>
      <c r="C44" s="12" t="inlineStr">
        <is>
          <t>Сумма списания</t>
        </is>
      </c>
      <c r="D44" s="12" t="inlineStr">
        <is>
          <t>Да</t>
        </is>
      </c>
      <c r="E44" s="11" t="inlineStr">
        <is>
          <t>Стоимость списанного товара.</t>
        </is>
      </c>
      <c r="F44" s="11" t="inlineStr">
        <is>
          <t>SUM(сумма списания)</t>
        </is>
      </c>
      <c r="G44" s="11" t="inlineStr">
        <is>
          <t>День / неделя / месяц</t>
        </is>
      </c>
      <c r="H44" s="11" t="inlineStr">
        <is>
          <t>дата × магазин</t>
        </is>
      </c>
      <c r="I44" s="11" t="inlineStr">
        <is>
          <t>дата × магазин</t>
        </is>
      </c>
      <c r="J44" s="11" t="inlineStr">
        <is>
          <t>writeoff_amount</t>
        </is>
      </c>
      <c r="K44" s="13" t="inlineStr"/>
      <c r="L44" s="13" t="inlineStr"/>
      <c r="M44" s="13" t="inlineStr"/>
      <c r="N44" s="13" t="inlineStr"/>
      <c r="O44" s="13" t="inlineStr"/>
      <c r="P44" s="13" t="inlineStr"/>
      <c r="Q44" s="13" t="inlineStr"/>
      <c r="R44" s="13" t="inlineStr"/>
      <c r="S44" s="13" t="inlineStr"/>
      <c r="T44" s="13" t="inlineStr"/>
      <c r="U44" s="13" t="inlineStr">
        <is>
          <t>Требуется заполнение ИТ</t>
        </is>
      </c>
      <c r="V44" s="13" t="inlineStr"/>
      <c r="W44" s="13" t="inlineStr"/>
      <c r="X44" s="13" t="inlineStr">
        <is>
          <t>Не проверено</t>
        </is>
      </c>
      <c r="Y44" s="13" t="inlineStr"/>
    </row>
    <row r="45">
      <c r="A45" s="11" t="n">
        <v>44</v>
      </c>
      <c r="B45" s="11" t="inlineStr">
        <is>
          <t>Запасы и выбытие</t>
        </is>
      </c>
      <c r="C45" s="12" t="inlineStr">
        <is>
          <t>Количество списанного товара</t>
        </is>
      </c>
      <c r="D45" s="12" t="inlineStr">
        <is>
          <t>Да</t>
        </is>
      </c>
      <c r="E45" s="11" t="inlineStr">
        <is>
          <t>Количество списанных единиц.</t>
        </is>
      </c>
      <c r="F45" s="11" t="inlineStr">
        <is>
          <t>SUM(количество)</t>
        </is>
      </c>
      <c r="G45" s="11" t="inlineStr">
        <is>
          <t>День / неделя / месяц</t>
        </is>
      </c>
      <c r="H45" s="11" t="inlineStr">
        <is>
          <t>дата × магазин</t>
        </is>
      </c>
      <c r="I45" s="11" t="inlineStr">
        <is>
          <t>дата × магазин</t>
        </is>
      </c>
      <c r="J45" s="11" t="inlineStr">
        <is>
          <t>writeoff_quantity</t>
        </is>
      </c>
      <c r="K45" s="13" t="inlineStr"/>
      <c r="L45" s="13" t="inlineStr"/>
      <c r="M45" s="13" t="inlineStr"/>
      <c r="N45" s="13" t="inlineStr"/>
      <c r="O45" s="13" t="inlineStr"/>
      <c r="P45" s="13" t="inlineStr"/>
      <c r="Q45" s="13" t="inlineStr"/>
      <c r="R45" s="13" t="inlineStr"/>
      <c r="S45" s="13" t="inlineStr"/>
      <c r="T45" s="13" t="inlineStr"/>
      <c r="U45" s="13" t="inlineStr">
        <is>
          <t>Требуется заполнение ИТ</t>
        </is>
      </c>
      <c r="V45" s="13" t="inlineStr"/>
      <c r="W45" s="13" t="inlineStr"/>
      <c r="X45" s="13" t="inlineStr">
        <is>
          <t>Не проверено</t>
        </is>
      </c>
      <c r="Y45" s="13" t="inlineStr"/>
    </row>
    <row r="46">
      <c r="A46" s="11" t="n">
        <v>45</v>
      </c>
      <c r="B46" s="11" t="inlineStr">
        <is>
          <t>Запасы и выбытие</t>
        </is>
      </c>
      <c r="C46" s="12" t="inlineStr">
        <is>
          <t>Недостача</t>
        </is>
      </c>
      <c r="D46" s="12" t="inlineStr">
        <is>
          <t>Да</t>
        </is>
      </c>
      <c r="E46" s="11" t="inlineStr">
        <is>
          <t>Выявленная недостача (инвентаризация / учёт).</t>
        </is>
      </c>
      <c r="F46" s="11" t="inlineStr">
        <is>
          <t>Сумма/количество недостач.</t>
        </is>
      </c>
      <c r="G46" s="11" t="inlineStr">
        <is>
          <t>День / месяц</t>
        </is>
      </c>
      <c r="H46" s="11" t="inlineStr">
        <is>
          <t>дата × магазин</t>
        </is>
      </c>
      <c r="I46" s="11" t="inlineStr">
        <is>
          <t>дата × магазин</t>
        </is>
      </c>
      <c r="J46" s="11" t="inlineStr">
        <is>
          <t>shortage_amount / shortage_qty</t>
        </is>
      </c>
      <c r="K46" s="13" t="inlineStr"/>
      <c r="L46" s="13" t="inlineStr"/>
      <c r="M46" s="13" t="inlineStr"/>
      <c r="N46" s="13" t="inlineStr"/>
      <c r="O46" s="13" t="inlineStr"/>
      <c r="P46" s="13" t="inlineStr"/>
      <c r="Q46" s="13" t="inlineStr"/>
      <c r="R46" s="13" t="inlineStr"/>
      <c r="S46" s="13" t="inlineStr"/>
      <c r="T46" s="13" t="inlineStr"/>
      <c r="U46" s="13" t="inlineStr">
        <is>
          <t>Требуется заполнение ИТ</t>
        </is>
      </c>
      <c r="V46" s="13" t="inlineStr"/>
      <c r="W46" s="13" t="inlineStr"/>
      <c r="X46" s="13" t="inlineStr">
        <is>
          <t>Не проверено</t>
        </is>
      </c>
      <c r="Y46" s="13" t="inlineStr"/>
    </row>
    <row r="47">
      <c r="A47" s="11" t="n">
        <v>46</v>
      </c>
      <c r="B47" s="11" t="inlineStr">
        <is>
          <t>Запасы и выбытие</t>
        </is>
      </c>
      <c r="C47" s="11" t="inlineStr">
        <is>
          <t>Перемещение товара</t>
        </is>
      </c>
      <c r="D47" s="11" t="inlineStr">
        <is>
          <t>Нет</t>
        </is>
      </c>
      <c r="E47" s="11" t="inlineStr">
        <is>
          <t>Внутренние перемещения между складами/магазинами.</t>
        </is>
      </c>
      <c r="F47" s="11" t="inlineStr">
        <is>
          <t>Движения перемещения (приход/расход).</t>
        </is>
      </c>
      <c r="G47" s="11" t="inlineStr">
        <is>
          <t>День</t>
        </is>
      </c>
      <c r="H47" s="11" t="inlineStr">
        <is>
          <t>дата × магазин-отправитель/получатель</t>
        </is>
      </c>
      <c r="I47" s="11" t="inlineStr">
        <is>
          <t>from_store × to_store</t>
        </is>
      </c>
      <c r="J47" s="11" t="inlineStr">
        <is>
          <t>transfer_qty / transfer_amount</t>
        </is>
      </c>
      <c r="K47" s="13" t="inlineStr"/>
      <c r="L47" s="13" t="inlineStr"/>
      <c r="M47" s="13" t="inlineStr"/>
      <c r="N47" s="13" t="inlineStr"/>
      <c r="O47" s="13" t="inlineStr"/>
      <c r="P47" s="13" t="inlineStr"/>
      <c r="Q47" s="13" t="inlineStr"/>
      <c r="R47" s="13" t="inlineStr"/>
      <c r="S47" s="13" t="inlineStr"/>
      <c r="T47" s="13" t="inlineStr"/>
      <c r="U47" s="13" t="inlineStr">
        <is>
          <t>Требуется заполнение ИТ</t>
        </is>
      </c>
      <c r="V47" s="13" t="inlineStr"/>
      <c r="W47" s="13" t="inlineStr"/>
      <c r="X47" s="13" t="inlineStr">
        <is>
          <t>Не проверено</t>
        </is>
      </c>
      <c r="Y47" s="13" t="inlineStr"/>
    </row>
    <row r="48">
      <c r="A48" s="11" t="n">
        <v>47</v>
      </c>
      <c r="B48" s="11" t="inlineStr">
        <is>
          <t>Запасы и выбытие</t>
        </is>
      </c>
      <c r="C48" s="11" t="inlineStr">
        <is>
          <t>Инвентаризационная корректировка</t>
        </is>
      </c>
      <c r="D48" s="11" t="inlineStr">
        <is>
          <t>Нет</t>
        </is>
      </c>
      <c r="E48" s="11" t="inlineStr">
        <is>
          <t>Корректировки остатков по результатам инвентаризации.</t>
        </is>
      </c>
      <c r="F48" s="11" t="inlineStr">
        <is>
          <t>Документы инвентаризации / корректировки.</t>
        </is>
      </c>
      <c r="G48" s="11" t="inlineStr">
        <is>
          <t>День / месяц</t>
        </is>
      </c>
      <c r="H48" s="11" t="inlineStr">
        <is>
          <t>дата × магазин</t>
        </is>
      </c>
      <c r="I48" s="11" t="inlineStr">
        <is>
          <t>дата × магазин</t>
        </is>
      </c>
      <c r="J48" s="11" t="inlineStr">
        <is>
          <t>inventory_adjustment</t>
        </is>
      </c>
      <c r="K48" s="13" t="inlineStr"/>
      <c r="L48" s="13" t="inlineStr"/>
      <c r="M48" s="13" t="inlineStr"/>
      <c r="N48" s="13" t="inlineStr"/>
      <c r="O48" s="13" t="inlineStr"/>
      <c r="P48" s="13" t="inlineStr"/>
      <c r="Q48" s="13" t="inlineStr"/>
      <c r="R48" s="13" t="inlineStr"/>
      <c r="S48" s="13" t="inlineStr"/>
      <c r="T48" s="13" t="inlineStr"/>
      <c r="U48" s="13" t="inlineStr">
        <is>
          <t>Требуется заполнение ИТ</t>
        </is>
      </c>
      <c r="V48" s="13" t="inlineStr"/>
      <c r="W48" s="13" t="inlineStr"/>
      <c r="X48" s="13" t="inlineStr">
        <is>
          <t>Не проверено</t>
        </is>
      </c>
      <c r="Y48" s="13" t="inlineStr"/>
    </row>
    <row r="49">
      <c r="A49" s="11" t="n">
        <v>48</v>
      </c>
      <c r="B49" s="11" t="inlineStr">
        <is>
          <t>Запасы и выбытие</t>
        </is>
      </c>
      <c r="C49" s="11" t="inlineStr">
        <is>
          <t>Возврат поставщику</t>
        </is>
      </c>
      <c r="D49" s="11" t="inlineStr">
        <is>
          <t>Нет</t>
        </is>
      </c>
      <c r="E49" s="11" t="inlineStr">
        <is>
          <t>Выбытие товара возвратом поставщику.</t>
        </is>
      </c>
      <c r="F49" s="11" t="inlineStr">
        <is>
          <t>Документы возврата поставщику.</t>
        </is>
      </c>
      <c r="G49" s="11" t="inlineStr">
        <is>
          <t>День / месяц</t>
        </is>
      </c>
      <c r="H49" s="11" t="inlineStr">
        <is>
          <t>дата × магазин</t>
        </is>
      </c>
      <c r="I49" s="11" t="inlineStr">
        <is>
          <t>дата × магазин</t>
        </is>
      </c>
      <c r="J49" s="11" t="inlineStr">
        <is>
          <t>return_to_supplier</t>
        </is>
      </c>
      <c r="K49" s="13" t="inlineStr"/>
      <c r="L49" s="13" t="inlineStr"/>
      <c r="M49" s="13" t="inlineStr"/>
      <c r="N49" s="13" t="inlineStr"/>
      <c r="O49" s="13" t="inlineStr"/>
      <c r="P49" s="13" t="inlineStr"/>
      <c r="Q49" s="13" t="inlineStr"/>
      <c r="R49" s="13" t="inlineStr"/>
      <c r="S49" s="13" t="inlineStr"/>
      <c r="T49" s="13" t="inlineStr"/>
      <c r="U49" s="13" t="inlineStr">
        <is>
          <t>Требуется заполнение ИТ</t>
        </is>
      </c>
      <c r="V49" s="13" t="inlineStr"/>
      <c r="W49" s="13" t="inlineStr"/>
      <c r="X49" s="13" t="inlineStr">
        <is>
          <t>Не проверено</t>
        </is>
      </c>
      <c r="Y49" s="13" t="inlineStr"/>
    </row>
    <row r="50">
      <c r="A50" s="11" t="n">
        <v>49</v>
      </c>
      <c r="B50" s="11" t="inlineStr">
        <is>
          <t>Запасы и выбытие</t>
        </is>
      </c>
      <c r="C50" s="11" t="inlineStr">
        <is>
          <t>Продажа/выбытие товара</t>
        </is>
      </c>
      <c r="D50" s="11" t="inlineStr">
        <is>
          <t>Нет</t>
        </is>
      </c>
      <c r="E50" s="11" t="inlineStr">
        <is>
          <t>Выбытие товара через продажу (для связки с остатками).</t>
        </is>
      </c>
      <c r="F50" s="11" t="inlineStr">
        <is>
          <t>Количество/сумма реализованного.</t>
        </is>
      </c>
      <c r="G50" s="11" t="inlineStr">
        <is>
          <t>День</t>
        </is>
      </c>
      <c r="H50" s="11" t="inlineStr">
        <is>
          <t>дата × магазин × (опц. товар/категория)</t>
        </is>
      </c>
      <c r="I50" s="11" t="inlineStr">
        <is>
          <t>дата × магазин × (опц. товар/категория)</t>
        </is>
      </c>
      <c r="J50" s="11" t="inlineStr">
        <is>
          <t>sold_quantity</t>
        </is>
      </c>
      <c r="K50" s="13" t="inlineStr"/>
      <c r="L50" s="13" t="inlineStr"/>
      <c r="M50" s="13" t="inlineStr"/>
      <c r="N50" s="13" t="inlineStr"/>
      <c r="O50" s="13" t="inlineStr"/>
      <c r="P50" s="13" t="inlineStr"/>
      <c r="Q50" s="13" t="inlineStr"/>
      <c r="R50" s="13" t="inlineStr"/>
      <c r="S50" s="13" t="inlineStr"/>
      <c r="T50" s="13" t="inlineStr"/>
      <c r="U50" s="13" t="inlineStr">
        <is>
          <t>Требуется заполнение ИТ</t>
        </is>
      </c>
      <c r="V50" s="13" t="inlineStr"/>
      <c r="W50" s="13" t="inlineStr"/>
      <c r="X50" s="13" t="inlineStr">
        <is>
          <t>Не проверено</t>
        </is>
      </c>
      <c r="Y50" s="13" t="inlineStr"/>
    </row>
    <row r="51">
      <c r="A51" s="11" t="n">
        <v>50</v>
      </c>
      <c r="B51" s="11" t="inlineStr">
        <is>
          <t>Запасы и выбытие</t>
        </is>
      </c>
      <c r="C51" s="11" t="inlineStr">
        <is>
          <t>Оборачиваемость запасов</t>
        </is>
      </c>
      <c r="D51" s="11" t="inlineStr">
        <is>
          <t>Нет</t>
        </is>
      </c>
      <c r="E51" s="11" t="inlineStr">
        <is>
          <t>Показатель оборачиваемости (если требуется в War Room).</t>
        </is>
      </c>
      <c r="F51" s="11" t="inlineStr">
        <is>
          <t>Формула компании (например себестоимость / средний остаток) — подтвердить.</t>
        </is>
      </c>
      <c r="G51" s="11" t="inlineStr">
        <is>
          <t>Месяц</t>
        </is>
      </c>
      <c r="H51" s="11" t="inlineStr">
        <is>
          <t>месяц × магазин</t>
        </is>
      </c>
      <c r="I51" s="11" t="inlineStr">
        <is>
          <t>месяц × магазин</t>
        </is>
      </c>
      <c r="J51" s="11" t="inlineStr">
        <is>
          <t>inventory_turnover</t>
        </is>
      </c>
      <c r="K51" s="13" t="inlineStr"/>
      <c r="L51" s="13" t="inlineStr"/>
      <c r="M51" s="13" t="inlineStr"/>
      <c r="N51" s="13" t="inlineStr"/>
      <c r="O51" s="13" t="inlineStr"/>
      <c r="P51" s="13" t="inlineStr"/>
      <c r="Q51" s="13" t="inlineStr"/>
      <c r="R51" s="13" t="inlineStr"/>
      <c r="S51" s="13" t="inlineStr"/>
      <c r="T51" s="13" t="inlineStr"/>
      <c r="U51" s="13" t="inlineStr">
        <is>
          <t>Требуется заполнение ИТ</t>
        </is>
      </c>
      <c r="V51" s="13" t="inlineStr"/>
      <c r="W51" s="13" t="inlineStr"/>
      <c r="X51" s="13" t="inlineStr">
        <is>
          <t>Не проверено</t>
        </is>
      </c>
      <c r="Y51" s="13" t="inlineStr"/>
    </row>
    <row r="52">
      <c r="A52" s="11" t="n">
        <v>51</v>
      </c>
      <c r="B52" s="11" t="inlineStr">
        <is>
          <t>Запасы и выбытие</t>
        </is>
      </c>
      <c r="C52" s="11" t="inlineStr">
        <is>
          <t>Out of Stock / отсутствие товара</t>
        </is>
      </c>
      <c r="D52" s="11" t="inlineStr">
        <is>
          <t>Нет</t>
        </is>
      </c>
      <c r="E52" s="11" t="inlineStr">
        <is>
          <t>Признак/доля отсутствующих позиций (если доступно).</t>
        </is>
      </c>
      <c r="F52" s="11" t="inlineStr">
        <is>
          <t>Правило расчёта OOS от ИТ/категорийного управления.</t>
        </is>
      </c>
      <c r="G52" s="11" t="inlineStr">
        <is>
          <t>День / неделя</t>
        </is>
      </c>
      <c r="H52" s="11" t="inlineStr">
        <is>
          <t>дата × магазин × (категория)</t>
        </is>
      </c>
      <c r="I52" s="11" t="inlineStr">
        <is>
          <t>дата × магазин</t>
        </is>
      </c>
      <c r="J52" s="11" t="inlineStr">
        <is>
          <t>oos_pct / oos_flag</t>
        </is>
      </c>
      <c r="K52" s="13" t="inlineStr"/>
      <c r="L52" s="13" t="inlineStr"/>
      <c r="M52" s="13" t="inlineStr"/>
      <c r="N52" s="13" t="inlineStr"/>
      <c r="O52" s="13" t="inlineStr"/>
      <c r="P52" s="13" t="inlineStr"/>
      <c r="Q52" s="13" t="inlineStr"/>
      <c r="R52" s="13" t="inlineStr"/>
      <c r="S52" s="13" t="inlineStr"/>
      <c r="T52" s="13" t="inlineStr"/>
      <c r="U52" s="13" t="inlineStr">
        <is>
          <t>Требуется заполнение ИТ</t>
        </is>
      </c>
      <c r="V52" s="13" t="inlineStr"/>
      <c r="W52" s="13" t="inlineStr"/>
      <c r="X52" s="13" t="inlineStr">
        <is>
          <t>Не проверено</t>
        </is>
      </c>
      <c r="Y52" s="13" t="inlineStr"/>
    </row>
    <row r="53">
      <c r="A53" s="11" t="n">
        <v>52</v>
      </c>
      <c r="B53" s="11" t="inlineStr">
        <is>
          <t>Персонал</t>
        </is>
      </c>
      <c r="C53" s="11" t="inlineStr">
        <is>
          <t>Штатная численность</t>
        </is>
      </c>
      <c r="D53" s="11" t="inlineStr">
        <is>
          <t>Нет</t>
        </is>
      </c>
      <c r="E53" s="11" t="inlineStr">
        <is>
          <t>Число штатных единиц по магазину.</t>
        </is>
      </c>
      <c r="F53" s="11" t="inlineStr">
        <is>
          <t>Штатное расписание / регистр кадров.</t>
        </is>
      </c>
      <c r="G53" s="11" t="inlineStr">
        <is>
          <t>Месяц</t>
        </is>
      </c>
      <c r="H53" s="11" t="inlineStr">
        <is>
          <t>месяц × магазин</t>
        </is>
      </c>
      <c r="I53" s="11" t="inlineStr">
        <is>
          <t>месяц × магазин</t>
        </is>
      </c>
      <c r="J53" s="11" t="inlineStr">
        <is>
          <t>headcount_plan</t>
        </is>
      </c>
      <c r="K53" s="13" t="inlineStr"/>
      <c r="L53" s="13" t="inlineStr"/>
      <c r="M53" s="13" t="inlineStr"/>
      <c r="N53" s="13" t="inlineStr"/>
      <c r="O53" s="13" t="inlineStr"/>
      <c r="P53" s="13" t="inlineStr"/>
      <c r="Q53" s="13" t="inlineStr"/>
      <c r="R53" s="13" t="inlineStr"/>
      <c r="S53" s="13" t="inlineStr"/>
      <c r="T53" s="13" t="inlineStr"/>
      <c r="U53" s="13" t="inlineStr">
        <is>
          <t>Требуется заполнение ИТ</t>
        </is>
      </c>
      <c r="V53" s="13" t="inlineStr"/>
      <c r="W53" s="13" t="inlineStr"/>
      <c r="X53" s="13" t="inlineStr">
        <is>
          <t>Не проверено</t>
        </is>
      </c>
      <c r="Y53" s="13" t="inlineStr"/>
    </row>
    <row r="54">
      <c r="A54" s="11" t="n">
        <v>53</v>
      </c>
      <c r="B54" s="11" t="inlineStr">
        <is>
          <t>Персонал</t>
        </is>
      </c>
      <c r="C54" s="11" t="inlineStr">
        <is>
          <t>Фактическая численность</t>
        </is>
      </c>
      <c r="D54" s="11" t="inlineStr">
        <is>
          <t>Нет</t>
        </is>
      </c>
      <c r="E54" s="11" t="inlineStr">
        <is>
          <t>Фактически занятые сотрудники.</t>
        </is>
      </c>
      <c r="F54" s="11" t="inlineStr">
        <is>
          <t>Списочная / явочная численность — уточнить.</t>
        </is>
      </c>
      <c r="G54" s="11" t="inlineStr">
        <is>
          <t>Месяц</t>
        </is>
      </c>
      <c r="H54" s="11" t="inlineStr">
        <is>
          <t>месяц × магазин</t>
        </is>
      </c>
      <c r="I54" s="11" t="inlineStr">
        <is>
          <t>месяц × магазин</t>
        </is>
      </c>
      <c r="J54" s="11" t="inlineStr">
        <is>
          <t>headcount_fact</t>
        </is>
      </c>
      <c r="K54" s="13" t="inlineStr"/>
      <c r="L54" s="13" t="inlineStr"/>
      <c r="M54" s="13" t="inlineStr"/>
      <c r="N54" s="13" t="inlineStr"/>
      <c r="O54" s="13" t="inlineStr"/>
      <c r="P54" s="13" t="inlineStr"/>
      <c r="Q54" s="13" t="inlineStr"/>
      <c r="R54" s="13" t="inlineStr"/>
      <c r="S54" s="13" t="inlineStr"/>
      <c r="T54" s="13" t="inlineStr"/>
      <c r="U54" s="13" t="inlineStr">
        <is>
          <t>Требуется заполнение ИТ</t>
        </is>
      </c>
      <c r="V54" s="13" t="inlineStr"/>
      <c r="W54" s="13" t="inlineStr"/>
      <c r="X54" s="13" t="inlineStr">
        <is>
          <t>Не проверено</t>
        </is>
      </c>
      <c r="Y54" s="13" t="inlineStr"/>
    </row>
    <row r="55">
      <c r="A55" s="11" t="n">
        <v>54</v>
      </c>
      <c r="B55" s="11" t="inlineStr">
        <is>
          <t>Персонал</t>
        </is>
      </c>
      <c r="C55" s="11" t="inlineStr">
        <is>
          <t>Вакансии</t>
        </is>
      </c>
      <c r="D55" s="11" t="inlineStr">
        <is>
          <t>Нет</t>
        </is>
      </c>
      <c r="E55" s="11" t="inlineStr">
        <is>
          <t>Разница штат − факт или отдельный учёт вакансий.</t>
        </is>
      </c>
      <c r="F55" s="11" t="inlineStr">
        <is>
          <t>штат − факт (или готовое поле).</t>
        </is>
      </c>
      <c r="G55" s="11" t="inlineStr">
        <is>
          <t>Месяц</t>
        </is>
      </c>
      <c r="H55" s="11" t="inlineStr">
        <is>
          <t>месяц × магазин</t>
        </is>
      </c>
      <c r="I55" s="11" t="inlineStr">
        <is>
          <t>месяц × магазин</t>
        </is>
      </c>
      <c r="J55" s="11" t="inlineStr">
        <is>
          <t>vacancies</t>
        </is>
      </c>
      <c r="K55" s="13" t="inlineStr"/>
      <c r="L55" s="13" t="inlineStr"/>
      <c r="M55" s="13" t="inlineStr"/>
      <c r="N55" s="13" t="inlineStr"/>
      <c r="O55" s="13" t="inlineStr"/>
      <c r="P55" s="13" t="inlineStr"/>
      <c r="Q55" s="13" t="inlineStr"/>
      <c r="R55" s="13" t="inlineStr"/>
      <c r="S55" s="13" t="inlineStr"/>
      <c r="T55" s="13" t="inlineStr"/>
      <c r="U55" s="13" t="inlineStr">
        <is>
          <t>Требуется заполнение ИТ</t>
        </is>
      </c>
      <c r="V55" s="13" t="inlineStr"/>
      <c r="W55" s="13" t="inlineStr"/>
      <c r="X55" s="13" t="inlineStr">
        <is>
          <t>Не проверено</t>
        </is>
      </c>
      <c r="Y55" s="13" t="inlineStr"/>
    </row>
    <row r="56">
      <c r="A56" s="11" t="n">
        <v>55</v>
      </c>
      <c r="B56" s="11" t="inlineStr">
        <is>
          <t>Персонал</t>
        </is>
      </c>
      <c r="C56" s="12" t="inlineStr">
        <is>
          <t>ФОТ (персонал)</t>
        </is>
      </c>
      <c r="D56" s="12" t="inlineStr">
        <is>
          <t>Да</t>
        </is>
      </c>
      <c r="E56" s="11" t="inlineStr">
        <is>
          <t>ФОТ в контуре персонала (может совпадать со статьёй P&amp;L).</t>
        </is>
      </c>
      <c r="F56" s="11" t="inlineStr">
        <is>
          <t>Сумма начислений за период.</t>
        </is>
      </c>
      <c r="G56" s="11" t="inlineStr">
        <is>
          <t>Месяц</t>
        </is>
      </c>
      <c r="H56" s="11" t="inlineStr">
        <is>
          <t>месяц × магазин</t>
        </is>
      </c>
      <c r="I56" s="11" t="inlineStr">
        <is>
          <t>месяц × магазин</t>
        </is>
      </c>
      <c r="J56" s="11" t="inlineStr">
        <is>
          <t>payroll</t>
        </is>
      </c>
      <c r="K56" s="13" t="inlineStr"/>
      <c r="L56" s="13" t="inlineStr"/>
      <c r="M56" s="13" t="inlineStr"/>
      <c r="N56" s="13" t="inlineStr"/>
      <c r="O56" s="13" t="inlineStr"/>
      <c r="P56" s="13" t="inlineStr"/>
      <c r="Q56" s="13" t="inlineStr"/>
      <c r="R56" s="13" t="inlineStr"/>
      <c r="S56" s="13" t="inlineStr"/>
      <c r="T56" s="13" t="inlineStr"/>
      <c r="U56" s="13" t="inlineStr">
        <is>
          <t>Требуется заполнение ИТ</t>
        </is>
      </c>
      <c r="V56" s="13" t="inlineStr"/>
      <c r="W56" s="13" t="inlineStr"/>
      <c r="X56" s="13" t="inlineStr">
        <is>
          <t>Не проверено</t>
        </is>
      </c>
      <c r="Y56" s="13" t="inlineStr"/>
    </row>
    <row r="57">
      <c r="A57" s="11" t="n">
        <v>56</v>
      </c>
      <c r="B57" s="11" t="inlineStr">
        <is>
          <t>Персонал</t>
        </is>
      </c>
      <c r="C57" s="11" t="inlineStr">
        <is>
          <t>Производительность на сотрудника</t>
        </is>
      </c>
      <c r="D57" s="11" t="inlineStr">
        <is>
          <t>Нет</t>
        </is>
      </c>
      <c r="E57" s="11" t="inlineStr">
        <is>
          <t>Операционная производительность (чеки/единицы на сотрудника).</t>
        </is>
      </c>
      <c r="F57" s="11" t="inlineStr">
        <is>
          <t>чеки или единицы / численность</t>
        </is>
      </c>
      <c r="G57" s="11" t="inlineStr">
        <is>
          <t>Месяц</t>
        </is>
      </c>
      <c r="H57" s="11" t="inlineStr">
        <is>
          <t>месяц × магазин</t>
        </is>
      </c>
      <c r="I57" s="11" t="inlineStr">
        <is>
          <t>месяц × магазин</t>
        </is>
      </c>
      <c r="J57" s="11" t="inlineStr">
        <is>
          <t>receipt_count / headcount_fact</t>
        </is>
      </c>
      <c r="K57" s="13" t="inlineStr"/>
      <c r="L57" s="13" t="inlineStr"/>
      <c r="M57" s="13" t="inlineStr"/>
      <c r="N57" s="13" t="inlineStr"/>
      <c r="O57" s="13" t="inlineStr"/>
      <c r="P57" s="13" t="inlineStr"/>
      <c r="Q57" s="13" t="inlineStr"/>
      <c r="R57" s="13" t="inlineStr"/>
      <c r="S57" s="13" t="inlineStr"/>
      <c r="T57" s="13" t="inlineStr"/>
      <c r="U57" s="13" t="inlineStr">
        <is>
          <t>Требуется заполнение ИТ</t>
        </is>
      </c>
      <c r="V57" s="13" t="inlineStr"/>
      <c r="W57" s="13" t="inlineStr"/>
      <c r="X57" s="13" t="inlineStr">
        <is>
          <t>Не проверено</t>
        </is>
      </c>
      <c r="Y57" s="13" t="inlineStr"/>
    </row>
    <row r="58">
      <c r="A58" s="11" t="n">
        <v>57</v>
      </c>
      <c r="B58" s="11" t="inlineStr">
        <is>
          <t>Персонал</t>
        </is>
      </c>
      <c r="C58" s="11" t="inlineStr">
        <is>
          <t>Выручка на сотрудника</t>
        </is>
      </c>
      <c r="D58" s="11" t="inlineStr">
        <is>
          <t>Нет</t>
        </is>
      </c>
      <c r="E58" s="11" t="inlineStr">
        <is>
          <t>Выручка, приходящаяся на одного сотрудника.</t>
        </is>
      </c>
      <c r="F58" s="11" t="inlineStr">
        <is>
          <t>выручка / численность</t>
        </is>
      </c>
      <c r="G58" s="11" t="inlineStr">
        <is>
          <t>Месяц</t>
        </is>
      </c>
      <c r="H58" s="11" t="inlineStr">
        <is>
          <t>месяц × магазин</t>
        </is>
      </c>
      <c r="I58" s="11" t="inlineStr">
        <is>
          <t>месяц × магазин</t>
        </is>
      </c>
      <c r="J58" s="11" t="inlineStr">
        <is>
          <t>revenue_fact / headcount_fact</t>
        </is>
      </c>
      <c r="K58" s="13" t="inlineStr"/>
      <c r="L58" s="13" t="inlineStr"/>
      <c r="M58" s="13" t="inlineStr"/>
      <c r="N58" s="13" t="inlineStr"/>
      <c r="O58" s="13" t="inlineStr"/>
      <c r="P58" s="13" t="inlineStr"/>
      <c r="Q58" s="13" t="inlineStr"/>
      <c r="R58" s="13" t="inlineStr"/>
      <c r="S58" s="13" t="inlineStr"/>
      <c r="T58" s="13" t="inlineStr"/>
      <c r="U58" s="13" t="inlineStr">
        <is>
          <t>Требуется заполнение ИТ</t>
        </is>
      </c>
      <c r="V58" s="13" t="inlineStr"/>
      <c r="W58" s="13" t="inlineStr"/>
      <c r="X58" s="13" t="inlineStr">
        <is>
          <t>Не проверено</t>
        </is>
      </c>
      <c r="Y58" s="13" t="inlineStr"/>
    </row>
    <row r="59">
      <c r="A59" s="11" t="n">
        <v>58</v>
      </c>
      <c r="B59" s="11" t="inlineStr">
        <is>
          <t>Персонал</t>
        </is>
      </c>
      <c r="C59" s="11" t="inlineStr">
        <is>
          <t>ФОТ как процент выручки</t>
        </is>
      </c>
      <c r="D59" s="11" t="inlineStr">
        <is>
          <t>Нет</t>
        </is>
      </c>
      <c r="E59" s="11" t="inlineStr">
        <is>
          <t>Доля ФОТ в выручке.</t>
        </is>
      </c>
      <c r="F59" s="11" t="inlineStr">
        <is>
          <t>ФОТ / выручка × 100%</t>
        </is>
      </c>
      <c r="G59" s="11" t="inlineStr">
        <is>
          <t>Месяц</t>
        </is>
      </c>
      <c r="H59" s="11" t="inlineStr">
        <is>
          <t>месяц × магазин</t>
        </is>
      </c>
      <c r="I59" s="11" t="inlineStr">
        <is>
          <t>месяц × магазин</t>
        </is>
      </c>
      <c r="J59" s="11" t="inlineStr">
        <is>
          <t>payroll / revenue_fact * 100</t>
        </is>
      </c>
      <c r="K59" s="13" t="inlineStr"/>
      <c r="L59" s="13" t="inlineStr"/>
      <c r="M59" s="13" t="inlineStr"/>
      <c r="N59" s="13" t="inlineStr"/>
      <c r="O59" s="13" t="inlineStr"/>
      <c r="P59" s="13" t="inlineStr"/>
      <c r="Q59" s="13" t="inlineStr"/>
      <c r="R59" s="13" t="inlineStr"/>
      <c r="S59" s="13" t="inlineStr"/>
      <c r="T59" s="13" t="inlineStr"/>
      <c r="U59" s="13" t="inlineStr">
        <is>
          <t>Требуется заполнение ИТ</t>
        </is>
      </c>
      <c r="V59" s="13" t="inlineStr"/>
      <c r="W59" s="13" t="inlineStr"/>
      <c r="X59" s="13" t="inlineStr">
        <is>
          <t>Не проверено</t>
        </is>
      </c>
      <c r="Y59" s="13" t="inlineStr"/>
    </row>
    <row r="60">
      <c r="A60" s="11" t="n">
        <v>59</v>
      </c>
      <c r="B60" s="11" t="inlineStr">
        <is>
          <t>Управленческие показатели</t>
        </is>
      </c>
      <c r="C60" s="11" t="inlineStr">
        <is>
          <t>Красный/жёлтый/зелёный статус KPI</t>
        </is>
      </c>
      <c r="D60" s="11" t="inlineStr">
        <is>
          <t>Нет</t>
        </is>
      </c>
      <c r="E60" s="11" t="inlineStr">
        <is>
          <t>Светофор статуса KPI по порогам War Room.</t>
        </is>
      </c>
      <c r="F60" s="11" t="inlineStr">
        <is>
          <t>Расчёт на стороне War Room по порогам; SQL отдаёт исходные метрики.</t>
        </is>
      </c>
      <c r="G60" s="11" t="inlineStr">
        <is>
          <t>День / неделя / месяц</t>
        </is>
      </c>
      <c r="H60" s="11" t="inlineStr">
        <is>
          <t>дата × магазин</t>
        </is>
      </c>
      <c r="I60" s="11" t="inlineStr">
        <is>
          <t>дата × магазин</t>
        </is>
      </c>
      <c r="J60" s="11" t="inlineStr">
        <is>
          <t>базовые KPI-поля</t>
        </is>
      </c>
      <c r="K60" s="13" t="inlineStr"/>
      <c r="L60" s="13" t="inlineStr"/>
      <c r="M60" s="13" t="inlineStr"/>
      <c r="N60" s="13" t="inlineStr"/>
      <c r="O60" s="13" t="inlineStr"/>
      <c r="P60" s="13" t="inlineStr"/>
      <c r="Q60" s="13" t="inlineStr"/>
      <c r="R60" s="13" t="inlineStr"/>
      <c r="S60" s="13" t="inlineStr"/>
      <c r="T60" s="13" t="inlineStr"/>
      <c r="U60" s="13" t="inlineStr">
        <is>
          <t>Требуется заполнение ИТ</t>
        </is>
      </c>
      <c r="V60" s="13" t="inlineStr"/>
      <c r="W60" s="13" t="inlineStr"/>
      <c r="X60" s="13" t="inlineStr">
        <is>
          <t>Не проверено</t>
        </is>
      </c>
      <c r="Y60" s="13" t="inlineStr"/>
    </row>
    <row r="61">
      <c r="A61" s="11" t="n">
        <v>60</v>
      </c>
      <c r="B61" s="11" t="inlineStr">
        <is>
          <t>Управленческие показатели</t>
        </is>
      </c>
      <c r="C61" s="11" t="inlineStr">
        <is>
          <t>Индекс критичности магазина</t>
        </is>
      </c>
      <c r="D61" s="11" t="inlineStr">
        <is>
          <t>Нет</t>
        </is>
      </c>
      <c r="E61" s="11" t="inlineStr">
        <is>
          <t>Сводный индекс риска магазина.</t>
        </is>
      </c>
      <c r="F61" s="11" t="inlineStr">
        <is>
          <t>Расчёт War Room на основе KPI; SQL — входные показатели.</t>
        </is>
      </c>
      <c r="G61" s="11" t="inlineStr">
        <is>
          <t>День / неделя / месяц</t>
        </is>
      </c>
      <c r="H61" s="11" t="inlineStr">
        <is>
          <t>магазин</t>
        </is>
      </c>
      <c r="I61" s="11" t="inlineStr">
        <is>
          <t>магазин</t>
        </is>
      </c>
      <c r="J61" s="11" t="inlineStr">
        <is>
          <t>набор KPI</t>
        </is>
      </c>
      <c r="K61" s="13" t="inlineStr"/>
      <c r="L61" s="13" t="inlineStr"/>
      <c r="M61" s="13" t="inlineStr"/>
      <c r="N61" s="13" t="inlineStr"/>
      <c r="O61" s="13" t="inlineStr"/>
      <c r="P61" s="13" t="inlineStr"/>
      <c r="Q61" s="13" t="inlineStr"/>
      <c r="R61" s="13" t="inlineStr"/>
      <c r="S61" s="13" t="inlineStr"/>
      <c r="T61" s="13" t="inlineStr"/>
      <c r="U61" s="13" t="inlineStr">
        <is>
          <t>Требуется заполнение ИТ</t>
        </is>
      </c>
      <c r="V61" s="13" t="inlineStr"/>
      <c r="W61" s="13" t="inlineStr"/>
      <c r="X61" s="13" t="inlineStr">
        <is>
          <t>Не проверено</t>
        </is>
      </c>
      <c r="Y61" s="13" t="inlineStr"/>
    </row>
    <row r="62">
      <c r="A62" s="11" t="n">
        <v>61</v>
      </c>
      <c r="B62" s="11" t="inlineStr">
        <is>
          <t>Управленческие показатели</t>
        </is>
      </c>
      <c r="C62" s="11" t="inlineStr">
        <is>
          <t>Рейтинг проблемных магазинов</t>
        </is>
      </c>
      <c r="D62" s="11" t="inlineStr">
        <is>
          <t>Нет</t>
        </is>
      </c>
      <c r="E62" s="11" t="inlineStr">
        <is>
          <t>Ранжирование магазинов по отклонениям.</t>
        </is>
      </c>
      <c r="F62" s="11" t="inlineStr">
        <is>
          <t>Расчёт War Room; SQL — факты.</t>
        </is>
      </c>
      <c r="G62" s="11" t="inlineStr">
        <is>
          <t>День / неделя / месяц</t>
        </is>
      </c>
      <c r="H62" s="11" t="inlineStr">
        <is>
          <t>магазин</t>
        </is>
      </c>
      <c r="I62" s="11" t="inlineStr">
        <is>
          <t>магазин</t>
        </is>
      </c>
      <c r="J62" s="11" t="inlineStr">
        <is>
          <t>набор KPI</t>
        </is>
      </c>
      <c r="K62" s="13" t="inlineStr"/>
      <c r="L62" s="13" t="inlineStr"/>
      <c r="M62" s="13" t="inlineStr"/>
      <c r="N62" s="13" t="inlineStr"/>
      <c r="O62" s="13" t="inlineStr"/>
      <c r="P62" s="13" t="inlineStr"/>
      <c r="Q62" s="13" t="inlineStr"/>
      <c r="R62" s="13" t="inlineStr"/>
      <c r="S62" s="13" t="inlineStr"/>
      <c r="T62" s="13" t="inlineStr"/>
      <c r="U62" s="13" t="inlineStr">
        <is>
          <t>Требуется заполнение ИТ</t>
        </is>
      </c>
      <c r="V62" s="13" t="inlineStr"/>
      <c r="W62" s="13" t="inlineStr"/>
      <c r="X62" s="13" t="inlineStr">
        <is>
          <t>Не проверено</t>
        </is>
      </c>
      <c r="Y62" s="13" t="inlineStr"/>
    </row>
    <row r="63">
      <c r="A63" s="11" t="n">
        <v>62</v>
      </c>
      <c r="B63" s="11" t="inlineStr">
        <is>
          <t>Управленческие показатели</t>
        </is>
      </c>
      <c r="C63" s="12" t="inlineStr">
        <is>
          <t>План/факт по ключевым показателям</t>
        </is>
      </c>
      <c r="D63" s="12" t="inlineStr">
        <is>
          <t>Да</t>
        </is>
      </c>
      <c r="E63" s="11" t="inlineStr">
        <is>
          <t>Сопоставление плана и факта по ключевым KPI релиза.</t>
        </is>
      </c>
      <c r="F63" s="11" t="inlineStr">
        <is>
          <t>Пары plan/fact из SQL views.</t>
        </is>
      </c>
      <c r="G63" s="11" t="inlineStr">
        <is>
          <t>День / неделя / месяц</t>
        </is>
      </c>
      <c r="H63" s="11" t="inlineStr">
        <is>
          <t>дата × магазин</t>
        </is>
      </c>
      <c r="I63" s="11" t="inlineStr">
        <is>
          <t>дата × магазин</t>
        </is>
      </c>
      <c r="J63" s="11" t="inlineStr">
        <is>
          <t>plan_* и fact_*</t>
        </is>
      </c>
      <c r="K63" s="13" t="inlineStr"/>
      <c r="L63" s="13" t="inlineStr"/>
      <c r="M63" s="13" t="inlineStr"/>
      <c r="N63" s="13" t="inlineStr"/>
      <c r="O63" s="13" t="inlineStr"/>
      <c r="P63" s="13" t="inlineStr"/>
      <c r="Q63" s="13" t="inlineStr"/>
      <c r="R63" s="13" t="inlineStr"/>
      <c r="S63" s="13" t="inlineStr"/>
      <c r="T63" s="13" t="inlineStr"/>
      <c r="U63" s="13" t="inlineStr">
        <is>
          <t>Требуется заполнение ИТ</t>
        </is>
      </c>
      <c r="V63" s="13" t="inlineStr"/>
      <c r="W63" s="13" t="inlineStr"/>
      <c r="X63" s="13" t="inlineStr">
        <is>
          <t>Не проверено</t>
        </is>
      </c>
      <c r="Y63" s="13" t="inlineStr"/>
    </row>
    <row r="64">
      <c r="A64" s="11" t="n">
        <v>63</v>
      </c>
      <c r="B64" s="11" t="inlineStr">
        <is>
          <t>Управленческие показатели</t>
        </is>
      </c>
      <c r="C64" s="12" t="inlineStr">
        <is>
          <t>Дата последнего обновления данных</t>
        </is>
      </c>
      <c r="D64" s="12" t="inlineStr">
        <is>
          <t>Да</t>
        </is>
      </c>
      <c r="E64" s="11" t="inlineStr">
        <is>
          <t>Метка свежести данных для UI War Room.</t>
        </is>
      </c>
      <c r="F64" s="11" t="inlineStr">
        <is>
          <t>MAX(updated_at) по используемым views/таблицам.</t>
        </is>
      </c>
      <c r="G64" s="11" t="inlineStr">
        <is>
          <t>Онлайн / по обновлению</t>
        </is>
      </c>
      <c r="H64" s="11" t="inlineStr">
        <is>
          <t>источник</t>
        </is>
      </c>
      <c r="I64" s="11" t="inlineStr">
        <is>
          <t>—</t>
        </is>
      </c>
      <c r="J64" s="11" t="inlineStr">
        <is>
          <t>updated_at</t>
        </is>
      </c>
      <c r="K64" s="13" t="inlineStr"/>
      <c r="L64" s="13" t="inlineStr"/>
      <c r="M64" s="13" t="inlineStr"/>
      <c r="N64" s="13" t="inlineStr"/>
      <c r="O64" s="13" t="inlineStr"/>
      <c r="P64" s="13" t="inlineStr"/>
      <c r="Q64" s="13" t="inlineStr"/>
      <c r="R64" s="13" t="inlineStr"/>
      <c r="S64" s="13" t="inlineStr"/>
      <c r="T64" s="13" t="inlineStr"/>
      <c r="U64" s="13" t="inlineStr">
        <is>
          <t>Требуется заполнение ИТ</t>
        </is>
      </c>
      <c r="V64" s="13" t="inlineStr"/>
      <c r="W64" s="13" t="inlineStr"/>
      <c r="X64" s="13" t="inlineStr">
        <is>
          <t>Не проверено</t>
        </is>
      </c>
      <c r="Y64" s="13" t="inlineStr"/>
    </row>
  </sheetData>
  <autoFilter ref="A1:Y64"/>
  <dataValidations count="3">
    <dataValidation sqref="U2:U64" showDropDown="0" showInputMessage="0" showErrorMessage="0" allowBlank="1" type="list">
      <formula1>"Требуется заполнение ИТ,В работе,Найдено,Подтверждено,Нет в базе,Не требуется"</formula1>
    </dataValidation>
    <dataValidation sqref="X2:X64" showDropDown="0" showInputMessage="0" showErrorMessage="0" allowBlank="1" type="list">
      <formula1>"Не проверено,Совпало,Расхождение,Ожидаемое различие"</formula1>
    </dataValidation>
    <dataValidation sqref="D2:D64" showDropDown="0" showInputMessage="0" showErrorMessage="0" allowBlank="0" type="list">
      <formula1>"Да,Нет"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22" customWidth="1" min="4" max="4"/>
    <col width="22" customWidth="1" min="5" max="5"/>
    <col width="36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40" customWidth="1" min="17" max="17"/>
    <col width="22" customWidth="1" min="18" max="18"/>
    <col width="40" customWidth="1" min="19" max="19"/>
  </cols>
  <sheetData>
    <row r="1">
      <c r="A1" s="10" t="inlineStr">
        <is>
          <t>№</t>
        </is>
      </c>
      <c r="B1" s="10" t="inlineStr">
        <is>
          <t>Бизнес-название объекта</t>
        </is>
      </c>
      <c r="C1" s="10" t="inlineStr">
        <is>
          <t>Тип объекта 1С</t>
        </is>
      </c>
      <c r="D1" s="10" t="inlineStr">
        <is>
          <t>Имя объекта 1С</t>
        </is>
      </c>
      <c r="E1" s="10" t="inlineStr">
        <is>
          <t>Техническая SQL-таблица</t>
        </is>
      </c>
      <c r="F1" s="10" t="inlineStr">
        <is>
          <t>Роль объекта</t>
        </is>
      </c>
      <c r="G1" s="10" t="inlineStr">
        <is>
          <t>Поле даты</t>
        </is>
      </c>
      <c r="H1" s="10" t="inlineStr">
        <is>
          <t>Поле магазина</t>
        </is>
      </c>
      <c r="I1" s="10" t="inlineStr">
        <is>
          <t>Поле суммы</t>
        </is>
      </c>
      <c r="J1" s="10" t="inlineStr">
        <is>
          <t>Поле количества</t>
        </is>
      </c>
      <c r="K1" s="10" t="inlineStr">
        <is>
          <t>Поле себестоимости</t>
        </is>
      </c>
      <c r="L1" s="10" t="inlineStr">
        <is>
          <t>Поле документа-основания</t>
        </is>
      </c>
      <c r="M1" s="10" t="inlineStr">
        <is>
          <t>Поле статуса проведения</t>
        </is>
      </c>
      <c r="N1" s="10" t="inlineStr">
        <is>
          <t>Поле типа операции</t>
        </is>
      </c>
      <c r="O1" s="10" t="inlineStr">
        <is>
          <t>Нужные соединения с другими таблицами</t>
        </is>
      </c>
      <c r="P1" s="10" t="inlineStr">
        <is>
          <t>Условия исключения</t>
        </is>
      </c>
      <c r="Q1" s="10" t="inlineStr">
        <is>
          <t>Пример SQL SELECT</t>
        </is>
      </c>
      <c r="R1" s="10" t="inlineStr">
        <is>
          <t>Подтверждено ИТ</t>
        </is>
      </c>
      <c r="S1" s="10" t="inlineStr">
        <is>
          <t>Комментарий ИТ</t>
        </is>
      </c>
    </row>
    <row r="2">
      <c r="A2" s="11" t="n">
        <v>1</v>
      </c>
      <c r="B2" s="14" t="inlineStr">
        <is>
          <t>Регистр продаж</t>
        </is>
      </c>
      <c r="C2" s="13" t="inlineStr">
        <is>
          <t>Регистр накопления</t>
        </is>
      </c>
      <c r="D2" s="13" t="inlineStr"/>
      <c r="E2" s="13" t="inlineStr"/>
      <c r="F2" s="13" t="inlineStr">
        <is>
          <t>Источник выручки / чеков / количества</t>
        </is>
      </c>
      <c r="G2" s="13" t="inlineStr"/>
      <c r="H2" s="13" t="inlineStr"/>
      <c r="I2" s="13" t="inlineStr"/>
      <c r="J2" s="13" t="inlineStr"/>
      <c r="K2" s="13" t="inlineStr"/>
      <c r="L2" s="13" t="inlineStr"/>
      <c r="M2" s="13" t="inlineStr"/>
      <c r="N2" s="13" t="inlineStr"/>
      <c r="O2" s="13" t="inlineStr"/>
      <c r="P2" s="13" t="inlineStr">
        <is>
          <t>Исключить непроведённые / помеченные на удаление — уточнить ИТ</t>
        </is>
      </c>
      <c r="Q2" s="13" t="inlineStr">
        <is>
          <t>SELECT ... — заполнить после указания реальных таблиц/views</t>
        </is>
      </c>
      <c r="R2" s="13" t="inlineStr">
        <is>
          <t>Нет</t>
        </is>
      </c>
      <c r="S2" s="13" t="inlineStr">
        <is>
          <t>Продажи розницы за период. Технические имена (_AccumRg#### / _Fld####) — только от ИТ.</t>
        </is>
      </c>
    </row>
    <row r="3">
      <c r="A3" s="11" t="n">
        <v>2</v>
      </c>
      <c r="B3" s="14" t="inlineStr">
        <is>
          <t>Регистр себестоимости</t>
        </is>
      </c>
      <c r="C3" s="13" t="inlineStr">
        <is>
          <t>Регистр накопления</t>
        </is>
      </c>
      <c r="D3" s="13" t="inlineStr"/>
      <c r="E3" s="13" t="inlineStr"/>
      <c r="F3" s="13" t="inlineStr">
        <is>
          <t>Источник COGS по партионному учёту</t>
        </is>
      </c>
      <c r="G3" s="13" t="inlineStr"/>
      <c r="H3" s="13" t="inlineStr"/>
      <c r="I3" s="13" t="inlineStr"/>
      <c r="J3" s="13" t="inlineStr"/>
      <c r="K3" s="13" t="inlineStr"/>
      <c r="L3" s="13" t="inlineStr"/>
      <c r="M3" s="13" t="inlineStr"/>
      <c r="N3" s="13" t="inlineStr"/>
      <c r="O3" s="13" t="inlineStr"/>
      <c r="P3" s="13" t="inlineStr">
        <is>
          <t>Исключить непроведённые / помеченные на удаление — уточнить ИТ</t>
        </is>
      </c>
      <c r="Q3" s="13" t="inlineStr">
        <is>
          <t>SELECT ... — заполнить после указания реальных таблиц/views</t>
        </is>
      </c>
      <c r="R3" s="13" t="inlineStr">
        <is>
          <t>Нет</t>
        </is>
      </c>
      <c r="S3" s="13" t="inlineStr">
        <is>
          <t>Себестоимость реализованного. Технические имена (_AccumRg#### / _Fld####) — только от ИТ.</t>
        </is>
      </c>
    </row>
    <row r="4">
      <c r="A4" s="11" t="n">
        <v>3</v>
      </c>
      <c r="B4" s="14" t="inlineStr">
        <is>
          <t>Регистр остатков</t>
        </is>
      </c>
      <c r="C4" s="13" t="inlineStr">
        <is>
          <t>Регистр накопления</t>
        </is>
      </c>
      <c r="D4" s="13" t="inlineStr"/>
      <c r="E4" s="13" t="inlineStr"/>
      <c r="F4" s="13" t="inlineStr">
        <is>
          <t>Снимки товарных остатков</t>
        </is>
      </c>
      <c r="G4" s="13" t="inlineStr"/>
      <c r="H4" s="13" t="inlineStr"/>
      <c r="I4" s="13" t="inlineStr"/>
      <c r="J4" s="13" t="inlineStr"/>
      <c r="K4" s="13" t="inlineStr"/>
      <c r="L4" s="13" t="inlineStr"/>
      <c r="M4" s="13" t="inlineStr"/>
      <c r="N4" s="13" t="inlineStr"/>
      <c r="O4" s="13" t="inlineStr"/>
      <c r="P4" s="13" t="inlineStr">
        <is>
          <t>Исключить непроведённые / помеченные на удаление — уточнить ИТ</t>
        </is>
      </c>
      <c r="Q4" s="13" t="inlineStr">
        <is>
          <t>SELECT ... — заполнить после указания реальных таблиц/views</t>
        </is>
      </c>
      <c r="R4" s="13" t="inlineStr">
        <is>
          <t>Нет</t>
        </is>
      </c>
      <c r="S4" s="13" t="inlineStr">
        <is>
          <t>Остатки на дату. Технические имена (_AccumRg#### / _Fld####) — только от ИТ.</t>
        </is>
      </c>
    </row>
    <row r="5">
      <c r="A5" s="11" t="n">
        <v>4</v>
      </c>
      <c r="B5" s="14" t="inlineStr">
        <is>
          <t>Документ списания</t>
        </is>
      </c>
      <c r="C5" s="13" t="inlineStr">
        <is>
          <t>Документ</t>
        </is>
      </c>
      <c r="D5" s="13" t="inlineStr"/>
      <c r="E5" s="13" t="inlineStr"/>
      <c r="F5" s="13" t="inlineStr">
        <is>
          <t>Выбытие товара по типам/подтипам</t>
        </is>
      </c>
      <c r="G5" s="13" t="inlineStr"/>
      <c r="H5" s="13" t="inlineStr"/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inlineStr">
        <is>
          <t>Исключить непроведённые / помеченные на удаление — уточнить ИТ</t>
        </is>
      </c>
      <c r="Q5" s="13" t="inlineStr">
        <is>
          <t>SELECT ... — заполнить после указания реальных таблиц/views</t>
        </is>
      </c>
      <c r="R5" s="13" t="inlineStr">
        <is>
          <t>Нет</t>
        </is>
      </c>
      <c r="S5" s="13" t="inlineStr">
        <is>
          <t>Списания и потери. Технические имена (_AccumRg#### / _Fld####) — только от ИТ.</t>
        </is>
      </c>
    </row>
    <row r="6">
      <c r="A6" s="11" t="n">
        <v>5</v>
      </c>
      <c r="B6" s="14" t="inlineStr">
        <is>
          <t>Справочник магазинов</t>
        </is>
      </c>
      <c r="C6" s="13" t="inlineStr">
        <is>
          <t>Справочник</t>
        </is>
      </c>
      <c r="D6" s="13" t="inlineStr"/>
      <c r="E6" s="13" t="inlineStr"/>
      <c r="F6" s="13" t="inlineStr">
        <is>
          <t>Код, наименование, статус, регион/кластер</t>
        </is>
      </c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>
        <is>
          <t>Исключить непроведённые / помеченные на удаление — уточнить ИТ</t>
        </is>
      </c>
      <c r="Q6" s="13" t="inlineStr">
        <is>
          <t>SELECT ... — заполнить после указания реальных таблиц/views</t>
        </is>
      </c>
      <c r="R6" s="13" t="inlineStr">
        <is>
          <t>Нет</t>
        </is>
      </c>
      <c r="S6" s="13" t="inlineStr">
        <is>
          <t>Измерение магазина. Технические имена (_AccumRg#### / _Fld####) — только от ИТ.</t>
        </is>
      </c>
    </row>
    <row r="7">
      <c r="A7" s="11" t="n">
        <v>6</v>
      </c>
      <c r="B7" s="14" t="inlineStr">
        <is>
          <t>Регистр планов</t>
        </is>
      </c>
      <c r="C7" s="13" t="inlineStr">
        <is>
          <t>Регистр сведений</t>
        </is>
      </c>
      <c r="D7" s="13" t="inlineStr"/>
      <c r="E7" s="13" t="inlineStr"/>
      <c r="F7" s="13" t="inlineStr">
        <is>
          <t>Планы выручки / маржи / прочих KPI</t>
        </is>
      </c>
      <c r="G7" s="13" t="inlineStr"/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>
        <is>
          <t>Исключить непроведённые / помеченные на удаление — уточнить ИТ</t>
        </is>
      </c>
      <c r="Q7" s="13" t="inlineStr">
        <is>
          <t>SELECT ... — заполнить после указания реальных таблиц/views</t>
        </is>
      </c>
      <c r="R7" s="13" t="inlineStr">
        <is>
          <t>Нет</t>
        </is>
      </c>
      <c r="S7" s="13" t="inlineStr">
        <is>
          <t>План продаж. Технические имена (_AccumRg#### / _Fld####) — только от ИТ.</t>
        </is>
      </c>
    </row>
    <row r="8">
      <c r="A8" s="11" t="n">
        <v>7</v>
      </c>
      <c r="B8" s="14" t="inlineStr">
        <is>
          <t>Регистр расходов (OPEX)</t>
        </is>
      </c>
      <c r="C8" s="13" t="inlineStr">
        <is>
          <t>Регистр накопления / сведений</t>
        </is>
      </c>
      <c r="D8" s="13" t="inlineStr"/>
      <c r="E8" s="13" t="inlineStr"/>
      <c r="F8" s="13" t="inlineStr">
        <is>
          <t>Операционные статьи расходов</t>
        </is>
      </c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>
        <is>
          <t>Исключить непроведённые / помеченные на удаление — уточнить ИТ</t>
        </is>
      </c>
      <c r="Q8" s="13" t="inlineStr">
        <is>
          <t>SELECT ... — заполнить после указания реальных таблиц/views</t>
        </is>
      </c>
      <c r="R8" s="13" t="inlineStr">
        <is>
          <t>Нет</t>
        </is>
      </c>
      <c r="S8" s="13" t="inlineStr">
        <is>
          <t>OPEX / ФОТ / аренда и др.. Технические имена (_AccumRg#### / _Fld####) — только от ИТ.</t>
        </is>
      </c>
    </row>
    <row r="9">
      <c r="A9" s="11" t="n">
        <v>8</v>
      </c>
      <c r="B9" s="14" t="inlineStr">
        <is>
          <t>Кадровый регистр / ФОТ</t>
        </is>
      </c>
      <c r="C9" s="13" t="inlineStr">
        <is>
          <t>Регистр сведений / накопления</t>
        </is>
      </c>
      <c r="D9" s="13" t="inlineStr"/>
      <c r="E9" s="13" t="inlineStr"/>
      <c r="F9" s="13" t="inlineStr">
        <is>
          <t>Численность и начисления</t>
        </is>
      </c>
      <c r="G9" s="13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>
        <is>
          <t>Исключить непроведённые / помеченные на удаление — уточнить ИТ</t>
        </is>
      </c>
      <c r="Q9" s="13" t="inlineStr">
        <is>
          <t>SELECT ... — заполнить после указания реальных таблиц/views</t>
        </is>
      </c>
      <c r="R9" s="13" t="inlineStr">
        <is>
          <t>Нет</t>
        </is>
      </c>
      <c r="S9" s="13" t="inlineStr">
        <is>
          <t>Персонал. Технические имена (_AccumRg#### / _Fld####) — только от ИТ.</t>
        </is>
      </c>
    </row>
  </sheetData>
  <autoFilter ref="A1:S9"/>
  <dataValidations count="2">
    <dataValidation sqref="C2:C9" showDropDown="0" showInputMessage="0" showErrorMessage="0" allowBlank="1" type="list">
      <formula1>"Регистр накопления,Регистр сведений,Документ,Справочник,План,View,Другое"</formula1>
    </dataValidation>
    <dataValidation sqref="R2:R9" showDropDown="0" showInputMessage="0" showErrorMessage="0" allowBlank="1" type="list">
      <formula1>"Да,Нет,Частично"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6" customWidth="1" min="3" max="3"/>
    <col width="55" customWidth="1" min="4" max="4"/>
    <col width="22" customWidth="1" min="5" max="5"/>
    <col width="32" customWidth="1" min="6" max="6"/>
    <col width="36" customWidth="1" min="7" max="7"/>
    <col width="24" customWidth="1" min="8" max="8"/>
    <col width="24" customWidth="1" min="9" max="9"/>
    <col width="24" customWidth="1" min="10" max="10"/>
  </cols>
  <sheetData>
    <row r="1">
      <c r="A1" s="10" t="inlineStr">
        <is>
          <t>№</t>
        </is>
      </c>
      <c r="B1" s="10" t="inlineStr">
        <is>
          <t>Имя view</t>
        </is>
      </c>
      <c r="C1" s="10" t="inlineStr">
        <is>
          <t>Назначение</t>
        </is>
      </c>
      <c r="D1" s="10" t="inlineStr">
        <is>
          <t>Требуемые колонки</t>
        </is>
      </c>
      <c r="E1" s="10" t="inlineStr">
        <is>
          <t>Минимальная гранулярность</t>
        </is>
      </c>
      <c r="F1" s="10" t="inlineStr">
        <is>
          <t>Ключевые фильтры</t>
        </is>
      </c>
      <c r="G1" s="10" t="inlineStr">
        <is>
          <t>Что не должно попадать в данные</t>
        </is>
      </c>
      <c r="H1" s="10" t="inlineStr">
        <is>
          <t>Кто подтверждает цифры</t>
        </is>
      </c>
      <c r="I1" s="10" t="inlineStr">
        <is>
          <t>Статус ИТ</t>
        </is>
      </c>
      <c r="J1" s="10" t="inlineStr">
        <is>
          <t>Комментарий ИТ</t>
        </is>
      </c>
    </row>
    <row r="2">
      <c r="A2" s="11" t="n">
        <v>1</v>
      </c>
      <c r="B2" s="15" t="inlineStr">
        <is>
          <t>vw_warroom_sales_daily</t>
        </is>
      </c>
      <c r="C2" s="11" t="inlineStr">
        <is>
          <t>Ежедневные продажи по магазинам для KPI выручки, чеков, возвратов и скидок.</t>
        </is>
      </c>
      <c r="D2" s="11" t="inlineStr">
        <is>
          <t>sale_date; store_id; store_code; store_name; revenue_fact; receipt_count; item_quantity; returns_amount; discount_amount; net_revenue; vat_flag (или эквивалент правила НДС); updated_at</t>
        </is>
      </c>
      <c r="E2" s="11" t="inlineStr">
        <is>
          <t>день × магазин</t>
        </is>
      </c>
      <c r="F2" s="11" t="inlineStr">
        <is>
          <t>Период; магазины; только проведённые операции; согласованный контур розницы</t>
        </is>
      </c>
      <c r="G2" s="11" t="inlineStr">
        <is>
          <t>Непроведённые документы; помеченные на удаление; служебные/тестовые точки (если есть); операции вне розничного контура — уточнить ИТ</t>
        </is>
      </c>
      <c r="H2" s="11" t="inlineStr">
        <is>
          <t>ИТ + финансы/ритейл-аналитика</t>
        </is>
      </c>
      <c r="I2" s="13" t="inlineStr">
        <is>
          <t>Требуется заполнение ИТ</t>
        </is>
      </c>
      <c r="J2" s="13" t="inlineStr"/>
    </row>
    <row r="3">
      <c r="A3" s="11" t="n">
        <v>2</v>
      </c>
      <c r="B3" s="15" t="inlineStr">
        <is>
          <t>vw_warroom_sales_plan</t>
        </is>
      </c>
      <c r="C3" s="11" t="inlineStr">
        <is>
          <t>Планы продаж для сравнения план/факт.</t>
        </is>
      </c>
      <c r="D3" s="11" t="inlineStr">
        <is>
          <t>period_start; period_grain (day/week/month); store_id; store_code; store_name; revenue_plan; gross_profit_plan (опц.); updated_at</t>
        </is>
      </c>
      <c r="E3" s="11" t="inlineStr">
        <is>
          <t>период × магазин</t>
        </is>
      </c>
      <c r="F3" s="11" t="inlineStr">
        <is>
          <t>Актуальная версия плана; утверждённые планы</t>
        </is>
      </c>
      <c r="G3" s="11" t="inlineStr">
        <is>
          <t>Черновики планов; устаревшие версии без пометки</t>
        </is>
      </c>
      <c r="H3" s="11" t="inlineStr">
        <is>
          <t>ИТ + финансы</t>
        </is>
      </c>
      <c r="I3" s="13" t="inlineStr">
        <is>
          <t>Требуется заполнение ИТ</t>
        </is>
      </c>
      <c r="J3" s="13" t="inlineStr"/>
    </row>
    <row r="4">
      <c r="A4" s="11" t="n">
        <v>3</v>
      </c>
      <c r="B4" s="15" t="inlineStr">
        <is>
          <t>vw_warroom_store_directory</t>
        </is>
      </c>
      <c r="C4" s="11" t="inlineStr">
        <is>
          <t>Справочник магазинов и статусов.</t>
        </is>
      </c>
      <c r="D4" s="11" t="inlineStr">
        <is>
          <t>store_id; store_code; store_name; is_active; region; cluster; format; opened_at; closed_at; updated_at</t>
        </is>
      </c>
      <c r="E4" s="11" t="inlineStr">
        <is>
          <t>магазин</t>
        </is>
      </c>
      <c r="F4" s="11" t="inlineStr">
        <is>
          <t>Актуальные элементы справочника</t>
        </is>
      </c>
      <c r="G4" s="11" t="inlineStr">
        <is>
          <t>Помеченные на удаление без необходимости; технические склады, если не входят в отчётность</t>
        </is>
      </c>
      <c r="H4" s="11" t="inlineStr">
        <is>
          <t>ИТ + операционный блок</t>
        </is>
      </c>
      <c r="I4" s="13" t="inlineStr">
        <is>
          <t>Требуется заполнение ИТ</t>
        </is>
      </c>
      <c r="J4" s="13" t="inlineStr"/>
    </row>
    <row r="5">
      <c r="A5" s="11" t="n">
        <v>4</v>
      </c>
      <c r="B5" s="15" t="inlineStr">
        <is>
          <t>vw_warroom_cogs_daily</t>
        </is>
      </c>
      <c r="C5" s="11" t="inlineStr">
        <is>
          <t>Себестоимость продаж по правилам партионного учёта.</t>
        </is>
      </c>
      <c r="D5" s="11" t="inlineStr">
        <is>
          <t>sale_date; store_id; store_code; cogs; revenue_fact (опц. для контроля); updated_at</t>
        </is>
      </c>
      <c r="E5" s="11" t="inlineStr">
        <is>
          <t>день × магазин</t>
        </is>
      </c>
      <c r="F5" s="11" t="inlineStr">
        <is>
          <t>Согласованный метод партий; закрытые периоды — по правилу</t>
        </is>
      </c>
      <c r="G5" s="11" t="inlineStr">
        <is>
          <t>Движения без проведения; тестовые базы</t>
        </is>
      </c>
      <c r="H5" s="11" t="inlineStr">
        <is>
          <t>ИТ + финансы</t>
        </is>
      </c>
      <c r="I5" s="13" t="inlineStr">
        <is>
          <t>Требуется заполнение ИТ</t>
        </is>
      </c>
      <c r="J5" s="13" t="inlineStr"/>
    </row>
    <row r="6">
      <c r="A6" s="11" t="n">
        <v>5</v>
      </c>
      <c r="B6" s="15" t="inlineStr">
        <is>
          <t>vw_warroom_opex_monthly</t>
        </is>
      </c>
      <c r="C6" s="11" t="inlineStr">
        <is>
          <t>Операционные расходы по статьям (OPEX, ФОТ, аренда и др.).</t>
        </is>
      </c>
      <c r="D6" s="11" t="inlineStr">
        <is>
          <t>month_id; store_id; store_code; expense_article; amount; payroll; rent; utilities; marketing; acquiring_fees; logistics; maintenance; it_telecom; other_opex; opex_total; updated_at</t>
        </is>
      </c>
      <c r="E6" s="11" t="inlineStr">
        <is>
          <t>месяц × магазин × статья</t>
        </is>
      </c>
      <c r="F6" s="11" t="inlineStr">
        <is>
          <t>Утверждённые статьи управленческого учёта</t>
        </is>
      </c>
      <c r="G6" s="11" t="inlineStr">
        <is>
          <t>Капитальные затраты, если не входят в OPEX; внутригрупповые обороты — по правилу</t>
        </is>
      </c>
      <c r="H6" s="11" t="inlineStr">
        <is>
          <t>ИТ + финансы</t>
        </is>
      </c>
      <c r="I6" s="13" t="inlineStr">
        <is>
          <t>Требуется заполнение ИТ</t>
        </is>
      </c>
      <c r="J6" s="13" t="inlineStr"/>
    </row>
    <row r="7">
      <c r="A7" s="11" t="n">
        <v>6</v>
      </c>
      <c r="B7" s="15" t="inlineStr">
        <is>
          <t>vw_warroom_inventory_daily</t>
        </is>
      </c>
      <c r="C7" s="11" t="inlineStr">
        <is>
          <t>Товарные остатки на конец дня.</t>
        </is>
      </c>
      <c r="D7" s="11" t="inlineStr">
        <is>
          <t>snapshot_date; store_id; product_id; product_name; stock_quantity; stock_value; updated_at</t>
        </is>
      </c>
      <c r="E7" s="11" t="inlineStr">
        <is>
          <t>дата × магазин × товар</t>
        </is>
      </c>
      <c r="F7" s="11" t="inlineStr">
        <is>
          <t>Снимок на конец дня; согласованная оценка стоимости</t>
        </is>
      </c>
      <c r="G7" s="11" t="inlineStr">
        <is>
          <t>Нулевые/служебные номенклатуры по согласованию; закрытые склады вне периметра</t>
        </is>
      </c>
      <c r="H7" s="11" t="inlineStr">
        <is>
          <t>ИТ + категорийный/операционный блок</t>
        </is>
      </c>
      <c r="I7" s="13" t="inlineStr">
        <is>
          <t>Требуется заполнение ИТ</t>
        </is>
      </c>
      <c r="J7" s="13" t="inlineStr"/>
    </row>
    <row r="8">
      <c r="A8" s="11" t="n">
        <v>7</v>
      </c>
      <c r="B8" s="15" t="inlineStr">
        <is>
          <t>vw_warroom_writeoffs</t>
        </is>
      </c>
      <c r="C8" s="11" t="inlineStr">
        <is>
          <t>Списания и выбытия с типами/подтипами.</t>
        </is>
      </c>
      <c r="D8" s="11" t="inlineStr">
        <is>
          <t>operation_date; store_id; product_id; writeoff_type; writeoff_subtype; quantity; amount; document_number; updated_at</t>
        </is>
      </c>
      <c r="E8" s="11" t="inlineStr">
        <is>
          <t>дата × магазин × документ/строка</t>
        </is>
      </c>
      <c r="F8" s="11" t="inlineStr">
        <is>
          <t>Проведённые документы списания; классификатор подтипов</t>
        </is>
      </c>
      <c r="G8" s="11" t="inlineStr">
        <is>
          <t>Непроведённые; отменённые; перемещения, если они не относятся к списанию</t>
        </is>
      </c>
      <c r="H8" s="11" t="inlineStr">
        <is>
          <t>ИТ + операционный блок</t>
        </is>
      </c>
      <c r="I8" s="13" t="inlineStr">
        <is>
          <t>Требуется заполнение ИТ</t>
        </is>
      </c>
      <c r="J8" s="13" t="inlineStr"/>
    </row>
    <row r="9">
      <c r="A9" s="11" t="n">
        <v>8</v>
      </c>
      <c r="B9" s="15" t="inlineStr">
        <is>
          <t>vw_warroom_headcount</t>
        </is>
      </c>
      <c r="C9" s="11" t="inlineStr">
        <is>
          <t>Численность и ФОТ для блока персонала.</t>
        </is>
      </c>
      <c r="D9" s="11" t="inlineStr">
        <is>
          <t>month_id; store_id; headcount_plan; headcount_fact; vacancies; payroll; updated_at</t>
        </is>
      </c>
      <c r="E9" s="11" t="inlineStr">
        <is>
          <t>месяц × магазин</t>
        </is>
      </c>
      <c r="F9" s="11" t="inlineStr">
        <is>
          <t>Согласованный контур сотрудников магазина</t>
        </is>
      </c>
      <c r="G9" s="11" t="inlineStr">
        <is>
          <t>Сотрудники бэкофиса, если не относятся к магазину — уточнить</t>
        </is>
      </c>
      <c r="H9" s="11" t="inlineStr">
        <is>
          <t>ИТ + HR/финансы</t>
        </is>
      </c>
      <c r="I9" s="13" t="inlineStr">
        <is>
          <t>Требуется заполнение ИТ</t>
        </is>
      </c>
      <c r="J9" s="13" t="inlineStr"/>
    </row>
    <row r="10">
      <c r="A10" s="11" t="n">
        <v>9</v>
      </c>
      <c r="B10" s="15" t="inlineStr">
        <is>
          <t>vw_warroom_kpi_monthly</t>
        </is>
      </c>
      <c r="C10" s="11" t="inlineStr">
        <is>
          <t>Витрина месячных KPI для управленческих экранов.</t>
        </is>
      </c>
      <c r="D10" s="11" t="inlineStr">
        <is>
          <t>month_id; store_id; store_code; store_name; revenue_fact; revenue_plan; receipt_count; avg_ticket; cogs; gross_profit; gross_margin_pct; opex_total; ebitda; writeoff_amount; stock_value_eom; updated_at</t>
        </is>
      </c>
      <c r="E10" s="11" t="inlineStr">
        <is>
          <t>месяц × магазин</t>
        </is>
      </c>
      <c r="F10" s="11" t="inlineStr">
        <is>
          <t>Закрытый/оперативный месяц — по правилу компании</t>
        </is>
      </c>
      <c r="G10" s="11" t="inlineStr">
        <is>
          <t>Несогласованные черновые оценки без флага</t>
        </is>
      </c>
      <c r="H10" s="11" t="inlineStr">
        <is>
          <t>ИТ + финансы + владелец War Room</t>
        </is>
      </c>
      <c r="I10" s="13" t="inlineStr">
        <is>
          <t>Требуется заполнение ИТ</t>
        </is>
      </c>
      <c r="J10" s="13" t="inlineStr"/>
    </row>
    <row r="12">
      <c r="A12" s="4" t="inlineStr">
        <is>
          <t>Примечание</t>
        </is>
      </c>
    </row>
    <row r="13">
      <c r="A13" s="16" t="inlineStr">
        <is>
          <t>Views должны скрывать технические имена 1С (_AccumRg*, _Fld*). War Room подключается к views, а не напрямую к сырым таблицам, если ИТ может их предоставить. Пример SQL SELECT и точные источники заполняются ИТ после карты объектов.</t>
        </is>
      </c>
    </row>
  </sheetData>
  <autoFilter ref="A1:J13"/>
  <mergeCells count="1">
    <mergeCell ref="A13:J13"/>
  </mergeCells>
  <dataValidations count="1">
    <dataValidation sqref="I2:I10" showDropDown="0" showInputMessage="0" showErrorMessage="0" allowBlank="1" type="list">
      <formula1>"Требуется заполнение ИТ,В работе,Найдено,Подтверждено,Нет в базе,Не требуется"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2" customWidth="1" min="3" max="3"/>
    <col width="22" customWidth="1" min="4" max="4"/>
    <col width="16" customWidth="1" min="5" max="5"/>
    <col width="16" customWidth="1" min="6" max="6"/>
    <col width="12" customWidth="1" min="7" max="7"/>
    <col width="16" customWidth="1" min="8" max="8"/>
    <col width="14" customWidth="1" min="9" max="9"/>
    <col width="24" customWidth="1" min="10" max="10"/>
    <col width="20" customWidth="1" min="11" max="11"/>
    <col width="16" customWidth="1" min="12" max="12"/>
    <col width="14" customWidth="1" min="13" max="13"/>
  </cols>
  <sheetData>
    <row r="1">
      <c r="A1" s="10" t="inlineStr">
        <is>
          <t>№</t>
        </is>
      </c>
      <c r="B1" s="10" t="inlineStr">
        <is>
          <t>Метрика</t>
        </is>
      </c>
      <c r="C1" s="10" t="inlineStr">
        <is>
          <t>Период</t>
        </is>
      </c>
      <c r="D1" s="10" t="inlineStr">
        <is>
          <t>Магазин / фильтр</t>
        </is>
      </c>
      <c r="E1" s="10" t="inlineStr">
        <is>
          <t>Значение в Excel</t>
        </is>
      </c>
      <c r="F1" s="10" t="inlineStr">
        <is>
          <t>Значение в SQL</t>
        </is>
      </c>
      <c r="G1" s="10" t="inlineStr">
        <is>
          <t>Разница</t>
        </is>
      </c>
      <c r="H1" s="10" t="inlineStr">
        <is>
          <t>Допустимое отклонение</t>
        </is>
      </c>
      <c r="I1" s="10" t="inlineStr">
        <is>
          <t>Статус</t>
        </is>
      </c>
      <c r="J1" s="10" t="inlineStr">
        <is>
          <t>Причина расхождения</t>
        </is>
      </c>
      <c r="K1" s="10" t="inlineStr">
        <is>
          <t>Решение</t>
        </is>
      </c>
      <c r="L1" s="10" t="inlineStr">
        <is>
          <t>Ответственный</t>
        </is>
      </c>
      <c r="M1" s="10" t="inlineStr">
        <is>
          <t>Дата проверки</t>
        </is>
      </c>
    </row>
    <row r="2">
      <c r="A2" s="17" t="n">
        <v>1</v>
      </c>
      <c r="B2" s="18" t="inlineStr">
        <is>
          <t>Дата операции</t>
        </is>
      </c>
      <c r="C2" s="19" t="inlineStr">
        <is>
          <t>Указать контрольный период</t>
        </is>
      </c>
      <c r="D2" s="19" t="inlineStr">
        <is>
          <t>Сеть / указать магазин</t>
        </is>
      </c>
      <c r="E2" s="19" t="inlineStr"/>
      <c r="F2" s="19" t="inlineStr"/>
      <c r="G2" s="19">
        <f>IF(OR(E2="",F2=""),"",F2-E2)</f>
        <v/>
      </c>
      <c r="H2" s="19" t="n">
        <v>0</v>
      </c>
      <c r="I2" s="19">
        <f>IF(OR(E2="",F2=""),"Не проверено",IF(ABS(G2)&lt;=H2,"Совпало","Расхождение"))</f>
        <v/>
      </c>
      <c r="J2" s="19" t="inlineStr"/>
      <c r="K2" s="19" t="inlineStr"/>
      <c r="L2" s="19" t="inlineStr"/>
      <c r="M2" s="19" t="inlineStr"/>
    </row>
    <row r="3">
      <c r="A3" s="17" t="n">
        <v>2</v>
      </c>
      <c r="B3" s="18" t="inlineStr">
        <is>
          <t>День</t>
        </is>
      </c>
      <c r="C3" s="19" t="inlineStr">
        <is>
          <t>Указать контрольный период</t>
        </is>
      </c>
      <c r="D3" s="19" t="inlineStr">
        <is>
          <t>Сеть / указать магазин</t>
        </is>
      </c>
      <c r="E3" s="19" t="inlineStr"/>
      <c r="F3" s="19" t="inlineStr"/>
      <c r="G3" s="19">
        <f>IF(OR(E3="",F3=""),"",F3-E3)</f>
        <v/>
      </c>
      <c r="H3" s="19" t="n">
        <v>0</v>
      </c>
      <c r="I3" s="19">
        <f>IF(OR(E3="",F3=""),"Не проверено",IF(ABS(G3)&lt;=H3,"Совпало","Расхождение"))</f>
        <v/>
      </c>
      <c r="J3" s="19" t="inlineStr"/>
      <c r="K3" s="19" t="inlineStr"/>
      <c r="L3" s="19" t="inlineStr"/>
      <c r="M3" s="19" t="inlineStr"/>
    </row>
    <row r="4">
      <c r="A4" s="17" t="n">
        <v>3</v>
      </c>
      <c r="B4" s="18" t="inlineStr">
        <is>
          <t>Неделя</t>
        </is>
      </c>
      <c r="C4" s="19" t="inlineStr">
        <is>
          <t>Указать контрольный период</t>
        </is>
      </c>
      <c r="D4" s="19" t="inlineStr">
        <is>
          <t>Сеть / указать магазин</t>
        </is>
      </c>
      <c r="E4" s="19" t="inlineStr"/>
      <c r="F4" s="19" t="inlineStr"/>
      <c r="G4" s="19">
        <f>IF(OR(E4="",F4=""),"",F4-E4)</f>
        <v/>
      </c>
      <c r="H4" s="19" t="n">
        <v>0</v>
      </c>
      <c r="I4" s="19">
        <f>IF(OR(E4="",F4=""),"Не проверено",IF(ABS(G4)&lt;=H4,"Совпало","Расхождение"))</f>
        <v/>
      </c>
      <c r="J4" s="19" t="inlineStr"/>
      <c r="K4" s="19" t="inlineStr"/>
      <c r="L4" s="19" t="inlineStr"/>
      <c r="M4" s="19" t="inlineStr"/>
    </row>
    <row r="5">
      <c r="A5" s="17" t="n">
        <v>4</v>
      </c>
      <c r="B5" s="18" t="inlineStr">
        <is>
          <t>Месяц</t>
        </is>
      </c>
      <c r="C5" s="19" t="inlineStr">
        <is>
          <t>Указать контрольный период</t>
        </is>
      </c>
      <c r="D5" s="19" t="inlineStr">
        <is>
          <t>Сеть / указать магазин</t>
        </is>
      </c>
      <c r="E5" s="19" t="inlineStr"/>
      <c r="F5" s="19" t="inlineStr"/>
      <c r="G5" s="19">
        <f>IF(OR(E5="",F5=""),"",F5-E5)</f>
        <v/>
      </c>
      <c r="H5" s="19" t="n">
        <v>0</v>
      </c>
      <c r="I5" s="19">
        <f>IF(OR(E5="",F5=""),"Не проверено",IF(ABS(G5)&lt;=H5,"Совпало","Расхождение"))</f>
        <v/>
      </c>
      <c r="J5" s="19" t="inlineStr"/>
      <c r="K5" s="19" t="inlineStr"/>
      <c r="L5" s="19" t="inlineStr"/>
      <c r="M5" s="19" t="inlineStr"/>
    </row>
    <row r="6">
      <c r="A6" s="17" t="n">
        <v>5</v>
      </c>
      <c r="B6" s="18" t="inlineStr">
        <is>
          <t>Код магазина</t>
        </is>
      </c>
      <c r="C6" s="19" t="inlineStr">
        <is>
          <t>Указать контрольный период</t>
        </is>
      </c>
      <c r="D6" s="19" t="inlineStr">
        <is>
          <t>Сеть / указать магазин</t>
        </is>
      </c>
      <c r="E6" s="19" t="inlineStr"/>
      <c r="F6" s="19" t="inlineStr"/>
      <c r="G6" s="19">
        <f>IF(OR(E6="",F6=""),"",F6-E6)</f>
        <v/>
      </c>
      <c r="H6" s="19" t="n">
        <v>0</v>
      </c>
      <c r="I6" s="19">
        <f>IF(OR(E6="",F6=""),"Не проверено",IF(ABS(G6)&lt;=H6,"Совпало","Расхождение"))</f>
        <v/>
      </c>
      <c r="J6" s="19" t="inlineStr"/>
      <c r="K6" s="19" t="inlineStr"/>
      <c r="L6" s="19" t="inlineStr"/>
      <c r="M6" s="19" t="inlineStr"/>
    </row>
    <row r="7">
      <c r="A7" s="17" t="n">
        <v>6</v>
      </c>
      <c r="B7" s="18" t="inlineStr">
        <is>
          <t>Наименование магазина</t>
        </is>
      </c>
      <c r="C7" s="19" t="inlineStr">
        <is>
          <t>Указать контрольный период</t>
        </is>
      </c>
      <c r="D7" s="19" t="inlineStr">
        <is>
          <t>Сеть / указать магазин</t>
        </is>
      </c>
      <c r="E7" s="19" t="inlineStr"/>
      <c r="F7" s="19" t="inlineStr"/>
      <c r="G7" s="19">
        <f>IF(OR(E7="",F7=""),"",F7-E7)</f>
        <v/>
      </c>
      <c r="H7" s="19" t="n">
        <v>0</v>
      </c>
      <c r="I7" s="19">
        <f>IF(OR(E7="",F7=""),"Не проверено",IF(ABS(G7)&lt;=H7,"Совпало","Расхождение"))</f>
        <v/>
      </c>
      <c r="J7" s="19" t="inlineStr"/>
      <c r="K7" s="19" t="inlineStr"/>
      <c r="L7" s="19" t="inlineStr"/>
      <c r="M7" s="19" t="inlineStr"/>
    </row>
    <row r="8">
      <c r="A8" s="17" t="n">
        <v>7</v>
      </c>
      <c r="B8" s="18" t="inlineStr">
        <is>
          <t>Активность/статус магазина</t>
        </is>
      </c>
      <c r="C8" s="19" t="inlineStr">
        <is>
          <t>Указать контрольный период</t>
        </is>
      </c>
      <c r="D8" s="19" t="inlineStr">
        <is>
          <t>Сеть / указать магазин</t>
        </is>
      </c>
      <c r="E8" s="19" t="inlineStr"/>
      <c r="F8" s="19" t="inlineStr"/>
      <c r="G8" s="19">
        <f>IF(OR(E8="",F8=""),"",F8-E8)</f>
        <v/>
      </c>
      <c r="H8" s="19" t="n">
        <v>0</v>
      </c>
      <c r="I8" s="19">
        <f>IF(OR(E8="",F8=""),"Не проверено",IF(ABS(G8)&lt;=H8,"Совпало","Расхождение"))</f>
        <v/>
      </c>
      <c r="J8" s="19" t="inlineStr"/>
      <c r="K8" s="19" t="inlineStr"/>
      <c r="L8" s="19" t="inlineStr"/>
      <c r="M8" s="19" t="inlineStr"/>
    </row>
    <row r="9">
      <c r="A9" s="17" t="n">
        <v>8</v>
      </c>
      <c r="B9" s="18" t="inlineStr">
        <is>
          <t>Выручка факт</t>
        </is>
      </c>
      <c r="C9" s="19" t="inlineStr">
        <is>
          <t>Указать контрольный период</t>
        </is>
      </c>
      <c r="D9" s="19" t="inlineStr">
        <is>
          <t>Сеть / указать магазин</t>
        </is>
      </c>
      <c r="E9" s="19" t="inlineStr"/>
      <c r="F9" s="19" t="inlineStr"/>
      <c r="G9" s="19">
        <f>IF(OR(E9="",F9=""),"",F9-E9)</f>
        <v/>
      </c>
      <c r="H9" s="19" t="n">
        <v>0</v>
      </c>
      <c r="I9" s="19">
        <f>IF(OR(E9="",F9=""),"Не проверено",IF(ABS(G9)&lt;=H9,"Совпало","Расхождение"))</f>
        <v/>
      </c>
      <c r="J9" s="19" t="inlineStr"/>
      <c r="K9" s="19" t="inlineStr"/>
      <c r="L9" s="19" t="inlineStr"/>
      <c r="M9" s="19" t="inlineStr"/>
    </row>
    <row r="10">
      <c r="A10" s="17" t="n">
        <v>9</v>
      </c>
      <c r="B10" s="18" t="inlineStr">
        <is>
          <t>Выручка план</t>
        </is>
      </c>
      <c r="C10" s="19" t="inlineStr">
        <is>
          <t>Указать контрольный период</t>
        </is>
      </c>
      <c r="D10" s="19" t="inlineStr">
        <is>
          <t>Сеть / указать магазин</t>
        </is>
      </c>
      <c r="E10" s="19" t="inlineStr"/>
      <c r="F10" s="19" t="inlineStr"/>
      <c r="G10" s="19">
        <f>IF(OR(E10="",F10=""),"",F10-E10)</f>
        <v/>
      </c>
      <c r="H10" s="19" t="n">
        <v>0</v>
      </c>
      <c r="I10" s="19">
        <f>IF(OR(E10="",F10=""),"Не проверено",IF(ABS(G10)&lt;=H10,"Совпало","Расхождение"))</f>
        <v/>
      </c>
      <c r="J10" s="19" t="inlineStr"/>
      <c r="K10" s="19" t="inlineStr"/>
      <c r="L10" s="19" t="inlineStr"/>
      <c r="M10" s="19" t="inlineStr"/>
    </row>
    <row r="11">
      <c r="A11" s="17" t="n">
        <v>10</v>
      </c>
      <c r="B11" s="18" t="inlineStr">
        <is>
          <t>Отклонение факта выручки от плана, руб.</t>
        </is>
      </c>
      <c r="C11" s="19" t="inlineStr">
        <is>
          <t>Указать контрольный период</t>
        </is>
      </c>
      <c r="D11" s="19" t="inlineStr">
        <is>
          <t>Сеть / указать магазин</t>
        </is>
      </c>
      <c r="E11" s="19" t="inlineStr"/>
      <c r="F11" s="19" t="inlineStr"/>
      <c r="G11" s="19">
        <f>IF(OR(E11="",F11=""),"",F11-E11)</f>
        <v/>
      </c>
      <c r="H11" s="19" t="n">
        <v>0</v>
      </c>
      <c r="I11" s="19">
        <f>IF(OR(E11="",F11=""),"Не проверено",IF(ABS(G11)&lt;=H11,"Совпало","Расхождение"))</f>
        <v/>
      </c>
      <c r="J11" s="19" t="inlineStr"/>
      <c r="K11" s="19" t="inlineStr"/>
      <c r="L11" s="19" t="inlineStr"/>
      <c r="M11" s="19" t="inlineStr"/>
    </row>
    <row r="12">
      <c r="A12" s="17" t="n">
        <v>11</v>
      </c>
      <c r="B12" s="18" t="inlineStr">
        <is>
          <t>Выполнение плана выручки, %</t>
        </is>
      </c>
      <c r="C12" s="19" t="inlineStr">
        <is>
          <t>Указать контрольный период</t>
        </is>
      </c>
      <c r="D12" s="19" t="inlineStr">
        <is>
          <t>Сеть / указать магазин</t>
        </is>
      </c>
      <c r="E12" s="19" t="inlineStr"/>
      <c r="F12" s="19" t="inlineStr"/>
      <c r="G12" s="19">
        <f>IF(OR(E12="",F12=""),"",F12-E12)</f>
        <v/>
      </c>
      <c r="H12" s="19" t="n">
        <v>0</v>
      </c>
      <c r="I12" s="19">
        <f>IF(OR(E12="",F12=""),"Не проверено",IF(ABS(G12)&lt;=H12,"Совпало","Расхождение"))</f>
        <v/>
      </c>
      <c r="J12" s="19" t="inlineStr"/>
      <c r="K12" s="19" t="inlineStr"/>
      <c r="L12" s="19" t="inlineStr"/>
      <c r="M12" s="19" t="inlineStr"/>
    </row>
    <row r="13">
      <c r="A13" s="17" t="n">
        <v>12</v>
      </c>
      <c r="B13" s="18" t="inlineStr">
        <is>
          <t>Возвраты</t>
        </is>
      </c>
      <c r="C13" s="19" t="inlineStr">
        <is>
          <t>Указать контрольный период</t>
        </is>
      </c>
      <c r="D13" s="19" t="inlineStr">
        <is>
          <t>Сеть / указать магазин</t>
        </is>
      </c>
      <c r="E13" s="19" t="inlineStr"/>
      <c r="F13" s="19" t="inlineStr"/>
      <c r="G13" s="19">
        <f>IF(OR(E13="",F13=""),"",F13-E13)</f>
        <v/>
      </c>
      <c r="H13" s="19" t="n">
        <v>0</v>
      </c>
      <c r="I13" s="19">
        <f>IF(OR(E13="",F13=""),"Не проверено",IF(ABS(G13)&lt;=H13,"Совпало","Расхождение"))</f>
        <v/>
      </c>
      <c r="J13" s="19" t="inlineStr"/>
      <c r="K13" s="19" t="inlineStr"/>
      <c r="L13" s="19" t="inlineStr"/>
      <c r="M13" s="19" t="inlineStr"/>
    </row>
    <row r="14">
      <c r="A14" s="17" t="n">
        <v>13</v>
      </c>
      <c r="B14" s="18" t="inlineStr">
        <is>
          <t>Сторно</t>
        </is>
      </c>
      <c r="C14" s="19" t="inlineStr">
        <is>
          <t>Указать контрольный период</t>
        </is>
      </c>
      <c r="D14" s="19" t="inlineStr">
        <is>
          <t>Сеть / указать магазин</t>
        </is>
      </c>
      <c r="E14" s="19" t="inlineStr"/>
      <c r="F14" s="19" t="inlineStr"/>
      <c r="G14" s="19">
        <f>IF(OR(E14="",F14=""),"",F14-E14)</f>
        <v/>
      </c>
      <c r="H14" s="19" t="n">
        <v>0</v>
      </c>
      <c r="I14" s="19">
        <f>IF(OR(E14="",F14=""),"Не проверено",IF(ABS(G14)&lt;=H14,"Совпало","Расхождение"))</f>
        <v/>
      </c>
      <c r="J14" s="19" t="inlineStr"/>
      <c r="K14" s="19" t="inlineStr"/>
      <c r="L14" s="19" t="inlineStr"/>
      <c r="M14" s="19" t="inlineStr"/>
    </row>
    <row r="15">
      <c r="A15" s="17" t="n">
        <v>14</v>
      </c>
      <c r="B15" s="18" t="inlineStr">
        <is>
          <t>Количество чеков</t>
        </is>
      </c>
      <c r="C15" s="19" t="inlineStr">
        <is>
          <t>Указать контрольный период</t>
        </is>
      </c>
      <c r="D15" s="19" t="inlineStr">
        <is>
          <t>Сеть / указать магазин</t>
        </is>
      </c>
      <c r="E15" s="19" t="inlineStr"/>
      <c r="F15" s="19" t="inlineStr"/>
      <c r="G15" s="19">
        <f>IF(OR(E15="",F15=""),"",F15-E15)</f>
        <v/>
      </c>
      <c r="H15" s="19" t="n">
        <v>0</v>
      </c>
      <c r="I15" s="19">
        <f>IF(OR(E15="",F15=""),"Не проверено",IF(ABS(G15)&lt;=H15,"Совпало","Расхождение"))</f>
        <v/>
      </c>
      <c r="J15" s="19" t="inlineStr"/>
      <c r="K15" s="19" t="inlineStr"/>
      <c r="L15" s="19" t="inlineStr"/>
      <c r="M15" s="19" t="inlineStr"/>
    </row>
    <row r="16">
      <c r="A16" s="17" t="n">
        <v>15</v>
      </c>
      <c r="B16" s="18" t="inlineStr">
        <is>
          <t>Средний чек</t>
        </is>
      </c>
      <c r="C16" s="19" t="inlineStr">
        <is>
          <t>Указать контрольный период</t>
        </is>
      </c>
      <c r="D16" s="19" t="inlineStr">
        <is>
          <t>Сеть / указать магазин</t>
        </is>
      </c>
      <c r="E16" s="19" t="inlineStr"/>
      <c r="F16" s="19" t="inlineStr"/>
      <c r="G16" s="19">
        <f>IF(OR(E16="",F16=""),"",F16-E16)</f>
        <v/>
      </c>
      <c r="H16" s="19" t="n">
        <v>0</v>
      </c>
      <c r="I16" s="19">
        <f>IF(OR(E16="",F16=""),"Не проверено",IF(ABS(G16)&lt;=H16,"Совпало","Расхождение"))</f>
        <v/>
      </c>
      <c r="J16" s="19" t="inlineStr"/>
      <c r="K16" s="19" t="inlineStr"/>
      <c r="L16" s="19" t="inlineStr"/>
      <c r="M16" s="19" t="inlineStr"/>
    </row>
    <row r="17">
      <c r="A17" s="17" t="n">
        <v>16</v>
      </c>
      <c r="B17" s="18" t="inlineStr">
        <is>
          <t>Себестоимость продаж</t>
        </is>
      </c>
      <c r="C17" s="19" t="inlineStr">
        <is>
          <t>Указать контрольный период</t>
        </is>
      </c>
      <c r="D17" s="19" t="inlineStr">
        <is>
          <t>Сеть / указать магазин</t>
        </is>
      </c>
      <c r="E17" s="19" t="inlineStr"/>
      <c r="F17" s="19" t="inlineStr"/>
      <c r="G17" s="19">
        <f>IF(OR(E17="",F17=""),"",F17-E17)</f>
        <v/>
      </c>
      <c r="H17" s="19" t="n">
        <v>0</v>
      </c>
      <c r="I17" s="19">
        <f>IF(OR(E17="",F17=""),"Не проверено",IF(ABS(G17)&lt;=H17,"Совпало","Расхождение"))</f>
        <v/>
      </c>
      <c r="J17" s="19" t="inlineStr"/>
      <c r="K17" s="19" t="inlineStr"/>
      <c r="L17" s="19" t="inlineStr"/>
      <c r="M17" s="19" t="inlineStr"/>
    </row>
    <row r="18">
      <c r="A18" s="17" t="n">
        <v>17</v>
      </c>
      <c r="B18" s="18" t="inlineStr">
        <is>
          <t>Валовая прибыль</t>
        </is>
      </c>
      <c r="C18" s="19" t="inlineStr">
        <is>
          <t>Указать контрольный период</t>
        </is>
      </c>
      <c r="D18" s="19" t="inlineStr">
        <is>
          <t>Сеть / указать магазин</t>
        </is>
      </c>
      <c r="E18" s="19" t="inlineStr"/>
      <c r="F18" s="19" t="inlineStr"/>
      <c r="G18" s="19">
        <f>IF(OR(E18="",F18=""),"",F18-E18)</f>
        <v/>
      </c>
      <c r="H18" s="19" t="n">
        <v>0</v>
      </c>
      <c r="I18" s="19">
        <f>IF(OR(E18="",F18=""),"Не проверено",IF(ABS(G18)&lt;=H18,"Совпало","Расхождение"))</f>
        <v/>
      </c>
      <c r="J18" s="19" t="inlineStr"/>
      <c r="K18" s="19" t="inlineStr"/>
      <c r="L18" s="19" t="inlineStr"/>
      <c r="M18" s="19" t="inlineStr"/>
    </row>
    <row r="19">
      <c r="A19" s="17" t="n">
        <v>18</v>
      </c>
      <c r="B19" s="18" t="inlineStr">
        <is>
          <t>Валовая маржа, %</t>
        </is>
      </c>
      <c r="C19" s="19" t="inlineStr">
        <is>
          <t>Указать контрольный период</t>
        </is>
      </c>
      <c r="D19" s="19" t="inlineStr">
        <is>
          <t>Сеть / указать магазин</t>
        </is>
      </c>
      <c r="E19" s="19" t="inlineStr"/>
      <c r="F19" s="19" t="inlineStr"/>
      <c r="G19" s="19">
        <f>IF(OR(E19="",F19=""),"",F19-E19)</f>
        <v/>
      </c>
      <c r="H19" s="19" t="n">
        <v>0</v>
      </c>
      <c r="I19" s="19">
        <f>IF(OR(E19="",F19=""),"Не проверено",IF(ABS(G19)&lt;=H19,"Совпало","Расхождение"))</f>
        <v/>
      </c>
      <c r="J19" s="19" t="inlineStr"/>
      <c r="K19" s="19" t="inlineStr"/>
      <c r="L19" s="19" t="inlineStr"/>
      <c r="M19" s="19" t="inlineStr"/>
    </row>
    <row r="20">
      <c r="A20" s="17" t="n">
        <v>19</v>
      </c>
      <c r="B20" s="18" t="inlineStr">
        <is>
          <t>OPEX всего</t>
        </is>
      </c>
      <c r="C20" s="19" t="inlineStr">
        <is>
          <t>Указать контрольный период</t>
        </is>
      </c>
      <c r="D20" s="19" t="inlineStr">
        <is>
          <t>Сеть / указать магазин</t>
        </is>
      </c>
      <c r="E20" s="19" t="inlineStr"/>
      <c r="F20" s="19" t="inlineStr"/>
      <c r="G20" s="19">
        <f>IF(OR(E20="",F20=""),"",F20-E20)</f>
        <v/>
      </c>
      <c r="H20" s="19" t="n">
        <v>0</v>
      </c>
      <c r="I20" s="19">
        <f>IF(OR(E20="",F20=""),"Не проверено",IF(ABS(G20)&lt;=H20,"Совпало","Расхождение"))</f>
        <v/>
      </c>
      <c r="J20" s="19" t="inlineStr"/>
      <c r="K20" s="19" t="inlineStr"/>
      <c r="L20" s="19" t="inlineStr"/>
      <c r="M20" s="19" t="inlineStr"/>
    </row>
    <row r="21">
      <c r="A21" s="17" t="n">
        <v>20</v>
      </c>
      <c r="B21" s="18" t="inlineStr">
        <is>
          <t>ФОТ</t>
        </is>
      </c>
      <c r="C21" s="19" t="inlineStr">
        <is>
          <t>Указать контрольный период</t>
        </is>
      </c>
      <c r="D21" s="19" t="inlineStr">
        <is>
          <t>Сеть / указать магазин</t>
        </is>
      </c>
      <c r="E21" s="19" t="inlineStr"/>
      <c r="F21" s="19" t="inlineStr"/>
      <c r="G21" s="19">
        <f>IF(OR(E21="",F21=""),"",F21-E21)</f>
        <v/>
      </c>
      <c r="H21" s="19" t="n">
        <v>0</v>
      </c>
      <c r="I21" s="19">
        <f>IF(OR(E21="",F21=""),"Не проверено",IF(ABS(G21)&lt;=H21,"Совпало","Расхождение"))</f>
        <v/>
      </c>
      <c r="J21" s="19" t="inlineStr"/>
      <c r="K21" s="19" t="inlineStr"/>
      <c r="L21" s="19" t="inlineStr"/>
      <c r="M21" s="19" t="inlineStr"/>
    </row>
    <row r="22">
      <c r="A22" s="17" t="n">
        <v>21</v>
      </c>
      <c r="B22" s="18" t="inlineStr">
        <is>
          <t>EBITDA / операционная прибыль</t>
        </is>
      </c>
      <c r="C22" s="19" t="inlineStr">
        <is>
          <t>Указать контрольный период</t>
        </is>
      </c>
      <c r="D22" s="19" t="inlineStr">
        <is>
          <t>Сеть / указать магазин</t>
        </is>
      </c>
      <c r="E22" s="19" t="inlineStr"/>
      <c r="F22" s="19" t="inlineStr"/>
      <c r="G22" s="19">
        <f>IF(OR(E22="",F22=""),"",F22-E22)</f>
        <v/>
      </c>
      <c r="H22" s="19" t="n">
        <v>0</v>
      </c>
      <c r="I22" s="19">
        <f>IF(OR(E22="",F22=""),"Не проверено",IF(ABS(G22)&lt;=H22,"Совпало","Расхождение"))</f>
        <v/>
      </c>
      <c r="J22" s="19" t="inlineStr"/>
      <c r="K22" s="19" t="inlineStr"/>
      <c r="L22" s="19" t="inlineStr"/>
      <c r="M22" s="19" t="inlineStr"/>
    </row>
    <row r="23">
      <c r="A23" s="17" t="n">
        <v>22</v>
      </c>
      <c r="B23" s="18" t="inlineStr">
        <is>
          <t>Товарный остаток в штуках на дату</t>
        </is>
      </c>
      <c r="C23" s="19" t="inlineStr">
        <is>
          <t>Указать контрольный период</t>
        </is>
      </c>
      <c r="D23" s="19" t="inlineStr">
        <is>
          <t>Сеть / указать магазин</t>
        </is>
      </c>
      <c r="E23" s="19" t="inlineStr"/>
      <c r="F23" s="19" t="inlineStr"/>
      <c r="G23" s="19">
        <f>IF(OR(E23="",F23=""),"",F23-E23)</f>
        <v/>
      </c>
      <c r="H23" s="19" t="n">
        <v>0</v>
      </c>
      <c r="I23" s="19">
        <f>IF(OR(E23="",F23=""),"Не проверено",IF(ABS(G23)&lt;=H23,"Совпало","Расхождение"))</f>
        <v/>
      </c>
      <c r="J23" s="19" t="inlineStr"/>
      <c r="K23" s="19" t="inlineStr"/>
      <c r="L23" s="19" t="inlineStr"/>
      <c r="M23" s="19" t="inlineStr"/>
    </row>
    <row r="24">
      <c r="A24" s="17" t="n">
        <v>23</v>
      </c>
      <c r="B24" s="18" t="inlineStr">
        <is>
          <t>Товарный остаток в рублях на дату</t>
        </is>
      </c>
      <c r="C24" s="19" t="inlineStr">
        <is>
          <t>Указать контрольный период</t>
        </is>
      </c>
      <c r="D24" s="19" t="inlineStr">
        <is>
          <t>Сеть / указать магазин</t>
        </is>
      </c>
      <c r="E24" s="19" t="inlineStr"/>
      <c r="F24" s="19" t="inlineStr"/>
      <c r="G24" s="19">
        <f>IF(OR(E24="",F24=""),"",F24-E24)</f>
        <v/>
      </c>
      <c r="H24" s="19" t="n">
        <v>0</v>
      </c>
      <c r="I24" s="19">
        <f>IF(OR(E24="",F24=""),"Не проверено",IF(ABS(G24)&lt;=H24,"Совпало","Расхождение"))</f>
        <v/>
      </c>
      <c r="J24" s="19" t="inlineStr"/>
      <c r="K24" s="19" t="inlineStr"/>
      <c r="L24" s="19" t="inlineStr"/>
      <c r="M24" s="19" t="inlineStr"/>
    </row>
    <row r="25">
      <c r="A25" s="17" t="n">
        <v>24</v>
      </c>
      <c r="B25" s="18" t="inlineStr">
        <is>
          <t>Списание товара</t>
        </is>
      </c>
      <c r="C25" s="19" t="inlineStr">
        <is>
          <t>Указать контрольный период</t>
        </is>
      </c>
      <c r="D25" s="19" t="inlineStr">
        <is>
          <t>Сеть / указать магазин</t>
        </is>
      </c>
      <c r="E25" s="19" t="inlineStr"/>
      <c r="F25" s="19" t="inlineStr"/>
      <c r="G25" s="19">
        <f>IF(OR(E25="",F25=""),"",F25-E25)</f>
        <v/>
      </c>
      <c r="H25" s="19" t="n">
        <v>0</v>
      </c>
      <c r="I25" s="19">
        <f>IF(OR(E25="",F25=""),"Не проверено",IF(ABS(G25)&lt;=H25,"Совпало","Расхождение"))</f>
        <v/>
      </c>
      <c r="J25" s="19" t="inlineStr"/>
      <c r="K25" s="19" t="inlineStr"/>
      <c r="L25" s="19" t="inlineStr"/>
      <c r="M25" s="19" t="inlineStr"/>
    </row>
    <row r="26">
      <c r="A26" s="17" t="n">
        <v>25</v>
      </c>
      <c r="B26" s="18" t="inlineStr">
        <is>
          <t>Подтип списания</t>
        </is>
      </c>
      <c r="C26" s="19" t="inlineStr">
        <is>
          <t>Указать контрольный период</t>
        </is>
      </c>
      <c r="D26" s="19" t="inlineStr">
        <is>
          <t>Сеть / указать магазин</t>
        </is>
      </c>
      <c r="E26" s="19" t="inlineStr"/>
      <c r="F26" s="19" t="inlineStr"/>
      <c r="G26" s="19">
        <f>IF(OR(E26="",F26=""),"",F26-E26)</f>
        <v/>
      </c>
      <c r="H26" s="19" t="n">
        <v>0</v>
      </c>
      <c r="I26" s="19">
        <f>IF(OR(E26="",F26=""),"Не проверено",IF(ABS(G26)&lt;=H26,"Совпало","Расхождение"))</f>
        <v/>
      </c>
      <c r="J26" s="19" t="inlineStr"/>
      <c r="K26" s="19" t="inlineStr"/>
      <c r="L26" s="19" t="inlineStr"/>
      <c r="M26" s="19" t="inlineStr"/>
    </row>
    <row r="27">
      <c r="A27" s="17" t="n">
        <v>26</v>
      </c>
      <c r="B27" s="19" t="inlineStr"/>
      <c r="C27" s="19" t="inlineStr"/>
      <c r="D27" s="19" t="inlineStr"/>
      <c r="E27" s="19" t="inlineStr"/>
      <c r="F27" s="19" t="inlineStr"/>
      <c r="G27" s="19">
        <f>IF(OR(E27="",F27=""),"",F27-E27)</f>
        <v/>
      </c>
      <c r="H27" s="19" t="n">
        <v>0</v>
      </c>
      <c r="I27" s="19">
        <f>IF(OR(E27="",F27=""),"Не проверено",IF(ABS(G27)&lt;=H27,"Совпало","Расхождение"))</f>
        <v/>
      </c>
      <c r="J27" s="19" t="inlineStr"/>
      <c r="K27" s="19" t="inlineStr"/>
      <c r="L27" s="19" t="inlineStr"/>
      <c r="M27" s="19" t="inlineStr"/>
    </row>
    <row r="28">
      <c r="A28" s="17" t="n">
        <v>27</v>
      </c>
      <c r="B28" s="19" t="inlineStr"/>
      <c r="C28" s="19" t="inlineStr"/>
      <c r="D28" s="19" t="inlineStr"/>
      <c r="E28" s="19" t="inlineStr"/>
      <c r="F28" s="19" t="inlineStr"/>
      <c r="G28" s="19">
        <f>IF(OR(E28="",F28=""),"",F28-E28)</f>
        <v/>
      </c>
      <c r="H28" s="19" t="n">
        <v>0</v>
      </c>
      <c r="I28" s="19">
        <f>IF(OR(E28="",F28=""),"Не проверено",IF(ABS(G28)&lt;=H28,"Совпало","Расхождение"))</f>
        <v/>
      </c>
      <c r="J28" s="19" t="inlineStr"/>
      <c r="K28" s="19" t="inlineStr"/>
      <c r="L28" s="19" t="inlineStr"/>
      <c r="M28" s="19" t="inlineStr"/>
    </row>
    <row r="29">
      <c r="A29" s="17" t="n">
        <v>28</v>
      </c>
      <c r="B29" s="19" t="inlineStr"/>
      <c r="C29" s="19" t="inlineStr"/>
      <c r="D29" s="19" t="inlineStr"/>
      <c r="E29" s="19" t="inlineStr"/>
      <c r="F29" s="19" t="inlineStr"/>
      <c r="G29" s="19">
        <f>IF(OR(E29="",F29=""),"",F29-E29)</f>
        <v/>
      </c>
      <c r="H29" s="19" t="n">
        <v>0</v>
      </c>
      <c r="I29" s="19">
        <f>IF(OR(E29="",F29=""),"Не проверено",IF(ABS(G29)&lt;=H29,"Совпало","Расхождение"))</f>
        <v/>
      </c>
      <c r="J29" s="19" t="inlineStr"/>
      <c r="K29" s="19" t="inlineStr"/>
      <c r="L29" s="19" t="inlineStr"/>
      <c r="M29" s="19" t="inlineStr"/>
    </row>
    <row r="30">
      <c r="A30" s="17" t="n">
        <v>29</v>
      </c>
      <c r="B30" s="19" t="inlineStr"/>
      <c r="C30" s="19" t="inlineStr"/>
      <c r="D30" s="19" t="inlineStr"/>
      <c r="E30" s="19" t="inlineStr"/>
      <c r="F30" s="19" t="inlineStr"/>
      <c r="G30" s="19">
        <f>IF(OR(E30="",F30=""),"",F30-E30)</f>
        <v/>
      </c>
      <c r="H30" s="19" t="n">
        <v>0</v>
      </c>
      <c r="I30" s="19">
        <f>IF(OR(E30="",F30=""),"Не проверено",IF(ABS(G30)&lt;=H30,"Совпало","Расхождение"))</f>
        <v/>
      </c>
      <c r="J30" s="19" t="inlineStr"/>
      <c r="K30" s="19" t="inlineStr"/>
      <c r="L30" s="19" t="inlineStr"/>
      <c r="M30" s="19" t="inlineStr"/>
    </row>
    <row r="31">
      <c r="A31" s="17" t="n">
        <v>30</v>
      </c>
      <c r="B31" s="19" t="inlineStr"/>
      <c r="C31" s="19" t="inlineStr"/>
      <c r="D31" s="19" t="inlineStr"/>
      <c r="E31" s="19" t="inlineStr"/>
      <c r="F31" s="19" t="inlineStr"/>
      <c r="G31" s="19">
        <f>IF(OR(E31="",F31=""),"",F31-E31)</f>
        <v/>
      </c>
      <c r="H31" s="19" t="n">
        <v>0</v>
      </c>
      <c r="I31" s="19">
        <f>IF(OR(E31="",F31=""),"Не проверено",IF(ABS(G31)&lt;=H31,"Совпало","Расхождение"))</f>
        <v/>
      </c>
      <c r="J31" s="19" t="inlineStr"/>
      <c r="K31" s="19" t="inlineStr"/>
      <c r="L31" s="19" t="inlineStr"/>
      <c r="M31" s="19" t="inlineStr"/>
    </row>
    <row r="32">
      <c r="A32" s="17" t="n">
        <v>31</v>
      </c>
      <c r="B32" s="19" t="inlineStr"/>
      <c r="C32" s="19" t="inlineStr"/>
      <c r="D32" s="19" t="inlineStr"/>
      <c r="E32" s="19" t="inlineStr"/>
      <c r="F32" s="19" t="inlineStr"/>
      <c r="G32" s="19">
        <f>IF(OR(E32="",F32=""),"",F32-E32)</f>
        <v/>
      </c>
      <c r="H32" s="19" t="n">
        <v>0</v>
      </c>
      <c r="I32" s="19">
        <f>IF(OR(E32="",F32=""),"Не проверено",IF(ABS(G32)&lt;=H32,"Совпало","Расхождение"))</f>
        <v/>
      </c>
      <c r="J32" s="19" t="inlineStr"/>
      <c r="K32" s="19" t="inlineStr"/>
      <c r="L32" s="19" t="inlineStr"/>
      <c r="M32" s="19" t="inlineStr"/>
    </row>
    <row r="33">
      <c r="A33" s="17" t="n">
        <v>32</v>
      </c>
      <c r="B33" s="19" t="inlineStr"/>
      <c r="C33" s="19" t="inlineStr"/>
      <c r="D33" s="19" t="inlineStr"/>
      <c r="E33" s="19" t="inlineStr"/>
      <c r="F33" s="19" t="inlineStr"/>
      <c r="G33" s="19">
        <f>IF(OR(E33="",F33=""),"",F33-E33)</f>
        <v/>
      </c>
      <c r="H33" s="19" t="n">
        <v>0</v>
      </c>
      <c r="I33" s="19">
        <f>IF(OR(E33="",F33=""),"Не проверено",IF(ABS(G33)&lt;=H33,"Совпало","Расхождение"))</f>
        <v/>
      </c>
      <c r="J33" s="19" t="inlineStr"/>
      <c r="K33" s="19" t="inlineStr"/>
      <c r="L33" s="19" t="inlineStr"/>
      <c r="M33" s="19" t="inlineStr"/>
    </row>
    <row r="34">
      <c r="A34" s="17" t="n">
        <v>33</v>
      </c>
      <c r="B34" s="19" t="inlineStr"/>
      <c r="C34" s="19" t="inlineStr"/>
      <c r="D34" s="19" t="inlineStr"/>
      <c r="E34" s="19" t="inlineStr"/>
      <c r="F34" s="19" t="inlineStr"/>
      <c r="G34" s="19">
        <f>IF(OR(E34="",F34=""),"",F34-E34)</f>
        <v/>
      </c>
      <c r="H34" s="19" t="n">
        <v>0</v>
      </c>
      <c r="I34" s="19">
        <f>IF(OR(E34="",F34=""),"Не проверено",IF(ABS(G34)&lt;=H34,"Совпало","Расхождение"))</f>
        <v/>
      </c>
      <c r="J34" s="19" t="inlineStr"/>
      <c r="K34" s="19" t="inlineStr"/>
      <c r="L34" s="19" t="inlineStr"/>
      <c r="M34" s="19" t="inlineStr"/>
    </row>
    <row r="35">
      <c r="A35" s="17" t="n">
        <v>34</v>
      </c>
      <c r="B35" s="19" t="inlineStr"/>
      <c r="C35" s="19" t="inlineStr"/>
      <c r="D35" s="19" t="inlineStr"/>
      <c r="E35" s="19" t="inlineStr"/>
      <c r="F35" s="19" t="inlineStr"/>
      <c r="G35" s="19">
        <f>IF(OR(E35="",F35=""),"",F35-E35)</f>
        <v/>
      </c>
      <c r="H35" s="19" t="n">
        <v>0</v>
      </c>
      <c r="I35" s="19">
        <f>IF(OR(E35="",F35=""),"Не проверено",IF(ABS(G35)&lt;=H35,"Совпало","Расхождение"))</f>
        <v/>
      </c>
      <c r="J35" s="19" t="inlineStr"/>
      <c r="K35" s="19" t="inlineStr"/>
      <c r="L35" s="19" t="inlineStr"/>
      <c r="M35" s="19" t="inlineStr"/>
    </row>
    <row r="36">
      <c r="A36" s="17" t="n">
        <v>35</v>
      </c>
      <c r="B36" s="19" t="inlineStr"/>
      <c r="C36" s="19" t="inlineStr"/>
      <c r="D36" s="19" t="inlineStr"/>
      <c r="E36" s="19" t="inlineStr"/>
      <c r="F36" s="19" t="inlineStr"/>
      <c r="G36" s="19">
        <f>IF(OR(E36="",F36=""),"",F36-E36)</f>
        <v/>
      </c>
      <c r="H36" s="19" t="n">
        <v>0</v>
      </c>
      <c r="I36" s="19">
        <f>IF(OR(E36="",F36=""),"Не проверено",IF(ABS(G36)&lt;=H36,"Совпало","Расхождение"))</f>
        <v/>
      </c>
      <c r="J36" s="19" t="inlineStr"/>
      <c r="K36" s="19" t="inlineStr"/>
      <c r="L36" s="19" t="inlineStr"/>
      <c r="M36" s="19" t="inlineStr"/>
    </row>
    <row r="37">
      <c r="A37" s="17" t="n">
        <v>36</v>
      </c>
      <c r="B37" s="19" t="inlineStr"/>
      <c r="C37" s="19" t="inlineStr"/>
      <c r="D37" s="19" t="inlineStr"/>
      <c r="E37" s="19" t="inlineStr"/>
      <c r="F37" s="19" t="inlineStr"/>
      <c r="G37" s="19">
        <f>IF(OR(E37="",F37=""),"",F37-E37)</f>
        <v/>
      </c>
      <c r="H37" s="19" t="n">
        <v>0</v>
      </c>
      <c r="I37" s="19">
        <f>IF(OR(E37="",F37=""),"Не проверено",IF(ABS(G37)&lt;=H37,"Совпало","Расхождение"))</f>
        <v/>
      </c>
      <c r="J37" s="19" t="inlineStr"/>
      <c r="K37" s="19" t="inlineStr"/>
      <c r="L37" s="19" t="inlineStr"/>
      <c r="M37" s="19" t="inlineStr"/>
    </row>
    <row r="38">
      <c r="A38" s="17" t="n">
        <v>37</v>
      </c>
      <c r="B38" s="19" t="inlineStr"/>
      <c r="C38" s="19" t="inlineStr"/>
      <c r="D38" s="19" t="inlineStr"/>
      <c r="E38" s="19" t="inlineStr"/>
      <c r="F38" s="19" t="inlineStr"/>
      <c r="G38" s="19">
        <f>IF(OR(E38="",F38=""),"",F38-E38)</f>
        <v/>
      </c>
      <c r="H38" s="19" t="n">
        <v>0</v>
      </c>
      <c r="I38" s="19">
        <f>IF(OR(E38="",F38=""),"Не проверено",IF(ABS(G38)&lt;=H38,"Совпало","Расхождение"))</f>
        <v/>
      </c>
      <c r="J38" s="19" t="inlineStr"/>
      <c r="K38" s="19" t="inlineStr"/>
      <c r="L38" s="19" t="inlineStr"/>
      <c r="M38" s="19" t="inlineStr"/>
    </row>
    <row r="39">
      <c r="A39" s="17" t="n">
        <v>38</v>
      </c>
      <c r="B39" s="19" t="inlineStr"/>
      <c r="C39" s="19" t="inlineStr"/>
      <c r="D39" s="19" t="inlineStr"/>
      <c r="E39" s="19" t="inlineStr"/>
      <c r="F39" s="19" t="inlineStr"/>
      <c r="G39" s="19">
        <f>IF(OR(E39="",F39=""),"",F39-E39)</f>
        <v/>
      </c>
      <c r="H39" s="19" t="n">
        <v>0</v>
      </c>
      <c r="I39" s="19">
        <f>IF(OR(E39="",F39=""),"Не проверено",IF(ABS(G39)&lt;=H39,"Совпало","Расхождение"))</f>
        <v/>
      </c>
      <c r="J39" s="19" t="inlineStr"/>
      <c r="K39" s="19" t="inlineStr"/>
      <c r="L39" s="19" t="inlineStr"/>
      <c r="M39" s="19" t="inlineStr"/>
    </row>
    <row r="40">
      <c r="A40" s="17" t="n">
        <v>39</v>
      </c>
      <c r="B40" s="19" t="inlineStr"/>
      <c r="C40" s="19" t="inlineStr"/>
      <c r="D40" s="19" t="inlineStr"/>
      <c r="E40" s="19" t="inlineStr"/>
      <c r="F40" s="19" t="inlineStr"/>
      <c r="G40" s="19">
        <f>IF(OR(E40="",F40=""),"",F40-E40)</f>
        <v/>
      </c>
      <c r="H40" s="19" t="n">
        <v>0</v>
      </c>
      <c r="I40" s="19">
        <f>IF(OR(E40="",F40=""),"Не проверено",IF(ABS(G40)&lt;=H40,"Совпало","Расхождение"))</f>
        <v/>
      </c>
      <c r="J40" s="19" t="inlineStr"/>
      <c r="K40" s="19" t="inlineStr"/>
      <c r="L40" s="19" t="inlineStr"/>
      <c r="M40" s="19" t="inlineStr"/>
    </row>
    <row r="41">
      <c r="A41" s="17" t="n">
        <v>40</v>
      </c>
      <c r="B41" s="19" t="inlineStr"/>
      <c r="C41" s="19" t="inlineStr"/>
      <c r="D41" s="19" t="inlineStr"/>
      <c r="E41" s="19" t="inlineStr"/>
      <c r="F41" s="19" t="inlineStr"/>
      <c r="G41" s="19">
        <f>IF(OR(E41="",F41=""),"",F41-E41)</f>
        <v/>
      </c>
      <c r="H41" s="19" t="n">
        <v>0</v>
      </c>
      <c r="I41" s="19">
        <f>IF(OR(E41="",F41=""),"Не проверено",IF(ABS(G41)&lt;=H41,"Совпало","Расхождение"))</f>
        <v/>
      </c>
      <c r="J41" s="19" t="inlineStr"/>
      <c r="K41" s="19" t="inlineStr"/>
      <c r="L41" s="19" t="inlineStr"/>
      <c r="M41" s="19" t="inlineStr"/>
    </row>
    <row r="43">
      <c r="A43" s="4" t="inlineStr">
        <is>
          <t>Правила сверки</t>
        </is>
      </c>
    </row>
    <row r="44">
      <c r="A44" s="16" t="inlineStr">
        <is>
          <t>Разница = Значение в SQL − Значение в Excel. Если |Разница| ≤ Допустимое отклонение → «Совпало», иначе → «Расхождение». Контрольный период и перечень магазинов согласовать до начала сверки. SQL-релиз не считается готовым при открытых расхождениях по обязательным метрикам.</t>
        </is>
      </c>
    </row>
  </sheetData>
  <autoFilter ref="A1:M44"/>
  <mergeCells count="1">
    <mergeCell ref="A44:M44"/>
  </mergeCells>
  <conditionalFormatting sqref="I2:I41">
    <cfRule type="expression" priority="1" dxfId="0">
      <formula>I2="Расхождение"</formula>
    </cfRule>
    <cfRule type="expression" priority="2" dxfId="1">
      <formula>I2="Совпало"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28" customWidth="1" min="3" max="3"/>
    <col width="28" customWidth="1" min="4" max="4"/>
  </cols>
  <sheetData>
    <row r="1">
      <c r="A1" s="1" t="inlineStr">
        <is>
          <t>Справочник значений для выпадающих списков</t>
        </is>
      </c>
    </row>
    <row r="3">
      <c r="A3" s="20" t="inlineStr">
        <is>
          <t>Статус ИТ</t>
        </is>
      </c>
      <c r="B3" s="20" t="inlineStr">
        <is>
          <t>Статус сверки</t>
        </is>
      </c>
      <c r="C3" s="20" t="inlineStr">
        <is>
          <t>Обязательность</t>
        </is>
      </c>
      <c r="D3" s="20" t="inlineStr">
        <is>
          <t>Тип объекта 1С</t>
        </is>
      </c>
    </row>
    <row r="4">
      <c r="A4" s="21" t="inlineStr">
        <is>
          <t>Требуется заполнение ИТ</t>
        </is>
      </c>
      <c r="B4" s="21" t="inlineStr">
        <is>
          <t>Не проверено</t>
        </is>
      </c>
      <c r="C4" s="21" t="inlineStr">
        <is>
          <t>Да</t>
        </is>
      </c>
      <c r="D4" s="21" t="inlineStr">
        <is>
          <t>Регистр накопления</t>
        </is>
      </c>
    </row>
    <row r="5">
      <c r="A5" s="21" t="inlineStr">
        <is>
          <t>В работе</t>
        </is>
      </c>
      <c r="B5" s="21" t="inlineStr">
        <is>
          <t>Совпало</t>
        </is>
      </c>
      <c r="C5" s="21" t="inlineStr">
        <is>
          <t>Нет</t>
        </is>
      </c>
      <c r="D5" s="21" t="inlineStr">
        <is>
          <t>Регистр сведений</t>
        </is>
      </c>
    </row>
    <row r="6">
      <c r="A6" s="21" t="inlineStr">
        <is>
          <t>Найдено</t>
        </is>
      </c>
      <c r="B6" s="21" t="inlineStr">
        <is>
          <t>Расхождение</t>
        </is>
      </c>
      <c r="D6" s="21" t="inlineStr">
        <is>
          <t>Документ</t>
        </is>
      </c>
    </row>
    <row r="7">
      <c r="A7" s="21" t="inlineStr">
        <is>
          <t>Подтверждено</t>
        </is>
      </c>
      <c r="B7" s="21" t="inlineStr">
        <is>
          <t>Ожидаемое различие</t>
        </is>
      </c>
      <c r="D7" s="21" t="inlineStr">
        <is>
          <t>Справочник</t>
        </is>
      </c>
    </row>
    <row r="8">
      <c r="A8" s="21" t="inlineStr">
        <is>
          <t>Нет в базе</t>
        </is>
      </c>
      <c r="D8" s="21" t="inlineStr">
        <is>
          <t>План</t>
        </is>
      </c>
    </row>
    <row r="9">
      <c r="A9" s="21" t="inlineStr">
        <is>
          <t>Не требуется</t>
        </is>
      </c>
      <c r="D9" s="21" t="inlineStr">
        <is>
          <t>View</t>
        </is>
      </c>
    </row>
    <row r="10">
      <c r="D10" s="21" t="inlineStr">
        <is>
          <t>Другое</t>
        </is>
      </c>
    </row>
    <row r="12">
      <c r="A12" s="4" t="inlineStr">
        <is>
          <t>Легенда оформления</t>
        </is>
      </c>
    </row>
    <row r="13">
      <c r="A13" s="22" t="inlineStr">
        <is>
          <t>Жёлтый</t>
        </is>
      </c>
      <c r="B13" t="inlineStr">
        <is>
          <t>Поле заполняет ИТ</t>
        </is>
      </c>
    </row>
    <row r="14">
      <c r="A14" s="23" t="inlineStr">
        <is>
          <t>Красный</t>
        </is>
      </c>
      <c r="B14" t="inlineStr">
        <is>
          <t>Обязательная метрика первого SQL-релиза без подтверждённого источника</t>
        </is>
      </c>
    </row>
    <row r="15">
      <c r="A15" s="24" t="inlineStr">
        <is>
          <t>Голубой</t>
        </is>
      </c>
      <c r="B15" t="inlineStr">
        <is>
          <t>Справочная / контекстная информация</t>
        </is>
      </c>
    </row>
    <row r="16">
      <c r="A16" s="25" t="inlineStr">
        <is>
          <t>Зелёный</t>
        </is>
      </c>
      <c r="B16" t="inlineStr">
        <is>
          <t>Рекомендуемые SQL views / успешная сверка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2026-08-10T15:06:02Z</dcterms:created>
  <dcterms:modified xsi:type="dcterms:W3CDTF">2026-08-10T15:06:02Z</dcterms:modified>
</cp:coreProperties>
</file>